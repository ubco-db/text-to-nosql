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tmp\text-to-nosql\results\predictions\translator\"/>
    </mc:Choice>
  </mc:AlternateContent>
  <xr:revisionPtr revIDLastSave="0" documentId="13_ncr:1_{5DE15534-49C9-49AE-BBF2-2746781F5D88}" xr6:coauthVersionLast="47" xr6:coauthVersionMax="47" xr10:uidLastSave="{00000000-0000-0000-0000-000000000000}"/>
  <bookViews>
    <workbookView xWindow="-110" yWindow="-110" windowWidth="38620" windowHeight="21100" activeTab="3" xr2:uid="{00000000-000D-0000-FFFF-FFFF00000000}"/>
  </bookViews>
  <sheets>
    <sheet name="README" sheetId="1" r:id="rId1"/>
    <sheet name="Summary" sheetId="2" r:id="rId2"/>
    <sheet name="Details" sheetId="3" r:id="rId3"/>
    <sheet name="SQL Pred Summary" sheetId="4" r:id="rId4"/>
    <sheet name="SQL Pred Details"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1" i="1" l="1"/>
  <c r="B29" i="1"/>
  <c r="C29" i="1" s="1"/>
  <c r="B28" i="1"/>
  <c r="C28" i="1" s="1"/>
  <c r="B27" i="1"/>
  <c r="C27" i="1" s="1"/>
  <c r="B26" i="1"/>
  <c r="C26" i="1" s="1"/>
  <c r="B25" i="1"/>
  <c r="C25" i="1" s="1"/>
  <c r="B24" i="1"/>
  <c r="C24" i="1" s="1"/>
  <c r="B15" i="1"/>
  <c r="C30" i="1" l="1"/>
  <c r="B30" i="1"/>
</calcChain>
</file>

<file path=xl/sharedStrings.xml><?xml version="1.0" encoding="utf-8"?>
<sst xmlns="http://schemas.openxmlformats.org/spreadsheetml/2006/main" count="5337" uniqueCount="1859">
  <si>
    <t>Gold-SQL Translation Failure Review</t>
  </si>
  <si>
    <t>Purpose</t>
  </si>
  <si>
    <t>Evaluation scope</t>
  </si>
  <si>
    <t>Metric</t>
  </si>
  <si>
    <t>Value</t>
  </si>
  <si>
    <t>Interpretation</t>
  </si>
  <si>
    <t>Test examples</t>
  </si>
  <si>
    <t>Complete TEND-Spider test set</t>
  </si>
  <si>
    <t>Correct with gold SQL</t>
  </si>
  <si>
    <t>Enhanced execution metric</t>
  </si>
  <si>
    <t>Gold-SQL failures</t>
  </si>
  <si>
    <t>Rows documented by this workbook</t>
  </si>
  <si>
    <t>Failure clusters</t>
  </si>
  <si>
    <t>One representative query per five paraphrases</t>
  </si>
  <si>
    <t>Examples per cluster</t>
  </si>
  <si>
    <t>All reviewed clusters contain five paraphrases</t>
  </si>
  <si>
    <t>Gold-SQL accuracy</t>
  </si>
  <si>
    <t>Correct examples divided by test examples</t>
  </si>
  <si>
    <t>Review conclusion</t>
  </si>
  <si>
    <t>Classification summary</t>
  </si>
  <si>
    <t>Issue type</t>
  </si>
  <si>
    <t>Clusters</t>
  </si>
  <si>
    <t>Examples</t>
  </si>
  <si>
    <t>Gold MQL semantics mismatch</t>
  </si>
  <si>
    <t>Gold SQL invalid or ambiguous</t>
  </si>
  <si>
    <t>Under-specified ordering or tie</t>
  </si>
  <si>
    <t>Physical data duplication</t>
  </si>
  <si>
    <t>Schema or data inconsistency</t>
  </si>
  <si>
    <t>NLQ–SQL mismatch</t>
  </si>
  <si>
    <t>Total</t>
  </si>
  <si>
    <t>Interpretation and comparability</t>
  </si>
  <si>
    <t>“Gold” denotes the benchmark-provided SQL or MQL, not a corrected alternative. Findings are assessed against standard SQL set/bag semantics, ordering guarantees, the supplied MongoDB documents, and direct execution of representative diagnostic queries. Cases remain scored as failures to preserve exact comparability with prior TEND and LLM experiments. This workbook should be read as an error-analysis supplement, not as a revised benchmark.</t>
  </si>
  <si>
    <t>Source and reproducibility</t>
  </si>
  <si>
    <t>Representative fields and row counts were copied from the final 2,775-example gold-SQL enhanced-evaluator output. Normalized MQL preserves collection, stages, predicates, projections, and ordering while removing formatting differences. Full per-example predictions and evaluator outputs are provided with the repository: https://github.com/ubco-db/text-to-nosql</t>
  </si>
  <si>
    <t>Each row represents a five-paraphrase cluster from the 2,775-example TEND-Spider gold-SQL evaluation. The benchmark queries and outputs remain unchanged; the classifications explain why the translator result does not match the benchmark gold result under the supplied SQL and MongoDB data.</t>
  </si>
  <si>
    <t>Cluster</t>
  </si>
  <si>
    <t>Example IDs</t>
  </si>
  <si>
    <t>Database</t>
  </si>
  <si>
    <t>Translator → gold rows</t>
  </si>
  <si>
    <t>Validated finding</t>
  </si>
  <si>
    <t>15–19</t>
  </si>
  <si>
    <t>college_3</t>
  </si>
  <si>
    <t>17 → 23</t>
  </si>
  <si>
    <t>Gold MQL omits SQL DISTINCT, returning 23 duplicate-bearing rows instead of the translator’s correct 17 unique first names.</t>
  </si>
  <si>
    <t>Retained for comparability</t>
  </si>
  <si>
    <t>365–369</t>
  </si>
  <si>
    <t>wine_1</t>
  </si>
  <si>
    <t>0 → 1</t>
  </si>
  <si>
    <t>Gold SQL incorrectly places non-grouped, non-aggregated year &lt; 2010 in HAVING; moving it to WHERE produces the correct North Coast result.</t>
  </si>
  <si>
    <t>460–464</t>
  </si>
  <si>
    <t>journal_committee</t>
  </si>
  <si>
    <t>1 → 1</t>
  </si>
  <si>
    <t>All editor ages occur once, so ORDER BY COUNT(*) DESC LIMIT 1 has a nine-way unresolved tie; the gold result arbitrarily selects age 54.</t>
  </si>
  <si>
    <t>680–684</t>
  </si>
  <si>
    <t>climbing</t>
  </si>
  <si>
    <t>Gold MQL projects away Height before sorting, making its $sort ineffective and returning an arbitrary mountain instead of Kibo, the actual highest at 5,895 metres.</t>
  </si>
  <si>
    <t>720–724</t>
  </si>
  <si>
    <t>customer_complaints</t>
  </si>
  <si>
    <t>Gold SQL has an unresolved two-way tie for the earliest complaint; Lynch and Hahn are both valid, while the benchmark arbitrarily expects Hahn.</t>
  </si>
  <si>
    <t>955–959</t>
  </si>
  <si>
    <t>294 → 294</t>
  </si>
  <si>
    <t>Gold SQL ambiguously orders distinct names by a non-selected price, and gold MQL loses the price ordering during $group; a deterministic minimum-price interpretation produces a different result.</t>
  </si>
  <si>
    <t>995–999</t>
  </si>
  <si>
    <t>school_player</t>
  </si>
  <si>
    <t>5 → 5</t>
  </si>
  <si>
    <t>Gold MQL unnecessarily groups five already-distinct teams after sorting and limiting, destroying the age order; translator correctly returns the 18-year-old player’s team first.</t>
  </si>
  <si>
    <t>1070–1074</t>
  </si>
  <si>
    <t>allergy_1</t>
  </si>
  <si>
    <t>2 → 1</t>
  </si>
  <si>
    <t>MongoDB data contains two identical copies of the youngest student; gold SQL returns both under SQL bag semantics, while gold MQL arbitrarily limits the result to one.</t>
  </si>
  <si>
    <t>1430–1434</t>
  </si>
  <si>
    <t>Gold MQL uses the incorrect field name max_Ggradepoint, so the translator’s correctly named aggregate output cannot match the benchmark target.</t>
  </si>
  <si>
    <t>1615–1619</t>
  </si>
  <si>
    <t>57 → 60</t>
  </si>
  <si>
    <t>Gold MQL implements SQL UNION as an $or filter without duplicate elimination, returning 60 rows instead of the translator’s correct 57 distinct course names.</t>
  </si>
  <si>
    <t>1865–1869</t>
  </si>
  <si>
    <t>machine_repair</t>
  </si>
  <si>
    <t>7 → 3</t>
  </si>
  <si>
    <t>Gold MQL returns each technician once, but gold SQL lacks DISTINCT and therefore correctly produces seven rows for seven separate qualifying repair assignments, including five rows for Joe Sewell.</t>
  </si>
  <si>
    <t>2060–2064</t>
  </si>
  <si>
    <t>Gold SQL omits the required ON T2.customer_id = T3.customer_id condition for the customer join; the corrected standard SQL translates successfully and returns the expected product.</t>
  </si>
  <si>
    <t>2095–2099</t>
  </si>
  <si>
    <t>5 → 10</t>
  </si>
  <si>
    <t>Gold MQL preserves duplicated physical student records, returning each qualifying ID twice, whereas SQL EXCEPT correctly returns the translator’s five distinct IDs.</t>
  </si>
  <si>
    <t>2190–2194</t>
  </si>
  <si>
    <t>9 → 8</t>
  </si>
  <si>
    <t>Gold MQL collapses two distinct assignments of Joe Sewell to machine 7 and imposes an arbitrary order within the rank-4 tie, while the translator preserves all nine SQL join rows in valid rank order.</t>
  </si>
  <si>
    <t>2285–2289</t>
  </si>
  <si>
    <t>university_basketball</t>
  </si>
  <si>
    <t>3 → 8</t>
  </si>
  <si>
    <t>Gold MQL calculates a per-document enrollment value instead of the global average, producing eight duplicated team rows, while the translator correctly computes the global average and returns the three qualifying universities.</t>
  </si>
  <si>
    <t>2400–2404</t>
  </si>
  <si>
    <t>flight_1</t>
  </si>
  <si>
    <t>22 → 23</t>
  </si>
  <si>
    <t>Two distinct employees share the name Michael Miller, but SQL EXCEPT eliminates duplicate projected names; gold MQL incorrectly preserves both employee documents and returns 23 rows instead of 22.</t>
  </si>
  <si>
    <t>2470–2474</t>
  </si>
  <si>
    <t>voter_2</t>
  </si>
  <si>
    <t>Gold SQL references PRESIDENT_Vote, a field absent from the schema and MongoDB data, so the expected result cannot be produced from the benchmark database.</t>
  </si>
  <si>
    <t>2515–2519</t>
  </si>
  <si>
    <t>239 → 163</t>
  </si>
  <si>
    <t>Gold SQL omits DISTINCT and therefore returns 239 qualifying wine rows, whereas the NLQ and gold MQL require 163 unique names; adding DISTINCT makes the translator match gold MQL exactly.</t>
  </si>
  <si>
    <t>2555–2559</t>
  </si>
  <si>
    <t>MongoDB contains two identical copies of the oldest student, so gold SQL’s equality-to-MAX(Age) predicate returns both, while gold MQL arbitrarily suppresses one using $limit: 1.</t>
  </si>
  <si>
    <t>2600–2604</t>
  </si>
  <si>
    <t>7 → 14</t>
  </si>
  <si>
    <t>Every food allergy appears twice physically, but gold SQL explicitly requests DISTINCT; the translator correctly returns seven unique allergies while gold MQL omits deduplication and returns 14 rows.</t>
  </si>
  <si>
    <t>2635–2639</t>
  </si>
  <si>
    <t>3 → 3</t>
  </si>
  <si>
    <t>The three selected instructors are tied at four courses each, so translator and gold orders are both valid; the evaluator cannot recognize the tie because the ordering count is not projected.</t>
  </si>
  <si>
    <t>2735–2739</t>
  </si>
  <si>
    <t>5 → 4</t>
  </si>
  <si>
    <t>Gold MQL treats qualifying journal membership existentially and returns each editor once, but gold SQL requires one row per qualifying committee membership, including two valid rows for Grażyna Wolszczak.</t>
  </si>
  <si>
    <t>Representative NLQ</t>
  </si>
  <si>
    <t>Gold SQL</t>
  </si>
  <si>
    <t>Benchmark gold MQL (normalized)</t>
  </si>
  <si>
    <t>Translator rows</t>
  </si>
  <si>
    <t>Gold rows</t>
  </si>
  <si>
    <t>Find the first names of students whose first names contain letter "a".</t>
  </si>
  <si>
    <t>SELECT DISTINCT Fname FROM STUDENT WHERE Fname LIKE '%a%'</t>
  </si>
  <si>
    <t>db.Student.find({Fname:{$regex:"a",$options:"i"}},{Fname:1,_id:0})</t>
  </si>
  <si>
    <t>What is the area of the appelation that produces the highest number of wines before the year of 2010?</t>
  </si>
  <si>
    <t>SELECT T1.Area FROM APPELLATIONS AS T1 JOIN WINE AS T2 ON T1.Appelation = T2.Appelation GROUP BY T2.Appelation HAVING T2.year &lt; 2010 ORDER BY count(*) DESC LIMIT 1</t>
  </si>
  <si>
    <t>db.appellations.aggregate([{$unwind:"$wine"},{$match:{"wine.Year":{$lt:2010}}},{$group:{_id:"$Area",count:{$sum:1}}},{$sort:{count:-1}},{$limit:1},{$project:{_id:0,Area:"$_id"}}])</t>
  </si>
  <si>
    <t>Please show the most common age of editors.</t>
  </si>
  <si>
    <t>SELECT Age FROM editor GROUP BY Age ORDER BY COUNT(*) DESC LIMIT 1</t>
  </si>
  <si>
    <t>db.editor.aggregate([{$group:{_id:"$Age",count:{$sum:1}}},{$sort:{count:-1}},{$limit:1},{$project:{_id:0,Age:"$_id"}}])</t>
  </si>
  <si>
    <t>What is the name of the highest mountain?</t>
  </si>
  <si>
    <t>SELECT Name FROM mountain ORDER BY Height DESC LIMIT 1</t>
  </si>
  <si>
    <t>db.mountain.aggregate([{$project:{Name:1,_id:0}},{$sort:{Height:-1}},{$limit:1}])</t>
  </si>
  <si>
    <t>What is the last name of the staff who has handled the first ever complaint?</t>
  </si>
  <si>
    <t>SELECT t1.last_name FROM staff AS t1 JOIN complaints AS t2 ON t1.staff_id = t2.staff_id ORDER BY t2.date_complaint_raised LIMIT 1</t>
  </si>
  <si>
    <t>db.Customers.aggregate([{$unwind:"$Complaints"},{$sort:{"Complaints.date_complaint_raised":1}},{$limit:1},{$lookup:{from:"Staff",localField:"Complaints.staff_id",foreignField:"staff_id",as:"Docs1"}},{$unwind:"$Docs1"},{$project:{last_name:"$Docs1.last_name",_id:0}}])</t>
  </si>
  <si>
    <t>List the names of all distinct wines ordered by price.</t>
  </si>
  <si>
    <t>SELECT DISTINCT Name FROM WINE ORDER BY price</t>
  </si>
  <si>
    <t>db.appellations.aggregate([{$unwind:"$wine"},{$sort:{"wine.Price":1}},{$group:{_id:"$wine.Name"}},{$project:{_id:0,Name:"$_id"}}])</t>
  </si>
  <si>
    <t>List the teams of the players with the top 5 largest ages.</t>
  </si>
  <si>
    <t>SELECT Team FROM player ORDER BY Age DESC LIMIT 5</t>
  </si>
  <si>
    <t>db.school.aggregate([{$unwind:"$player"},{$sort:{"player.Age":-1}},{$limit:5},{$group:{_id:"$player.Team"}},{$project:{Team:"$_id",_id:0}}])</t>
  </si>
  <si>
    <t>What is the last name of the youngest student?</t>
  </si>
  <si>
    <t>SELECT LName FROM Student WHERE age = (SELECT min(age) FROM Student)</t>
  </si>
  <si>
    <t>db.Student.aggregate([{$sort:{Age:1}},{$limit:1},{$project:{_id:0,LName:1}}])</t>
  </si>
  <si>
    <t>What is the maximum and minimum grade point of students who live in NYC?</t>
  </si>
  <si>
    <t>SELECT max(T2.gradepoint) , min(T2.gradepoint) FROM ENROLLED_IN AS T1 JOIN GRADECONVERSION AS T2 ON T1.Grade = T2.lettergrade JOIN STUDENT AS T3 ON T1.StuID = T3.StuID WHERE T3.city_code = 'NYC'</t>
  </si>
  <si>
    <t>db.Student.aggregate([{$match:{city_code:"NYC"}},{$lookup:{from:"Gradeconversion",localField:"Enrolled_in.Grade",foreignField:"lettergrade",as:"Docs1"}},{$unwind:"$Docs1"},{$group:{_id:null,max_Ggradepoint:{$max:"$Docs1.gradepoint"},min_gradepoint:{$min:"$Docs1.gradepoint"}}},{$project:{_id:0,max_Ggradepoint:1,min_gradepoint:1}}])</t>
  </si>
  <si>
    <t>Find the names of courses that have either 3 credits or 1 credit but 4 hours.</t>
  </si>
  <si>
    <t>SELECT CName FROM COURSE WHERE Credits = 3 UNION SELECT CName FROM COURSE WHERE Credits = 1 AND Hours = 4</t>
  </si>
  <si>
    <t>db.Department.aggregate([{$unwind:"$Course"},{$match:{$or:[{"Course.Credits":3},{$and:[{"Course.Credits":1},{"Course.Hours":"4"}]}]}},{$project:{CName:"$Course.CName",_id:0}}])</t>
  </si>
  <si>
    <t>Show names of technicians who are assigned to repair machines with value point more than 70.</t>
  </si>
  <si>
    <t>SELECT T3.Name FROM repair_assignment AS T1 JOIN machine AS T2 ON T1.machine_id = T2.machine_id JOIN technician AS T3 ON T1.technician_ID = T3.technician_ID WHERE T2.value_points &gt; 70</t>
  </si>
  <si>
    <t>db.technician.aggregate([{$lookup:{from:"repair",localField:"repair_assignment.repair_ID",foreignField:"repair_ID",as:"Docs1"}},{$lookup:{from:"machine",localField:"repair_assignment.Machine_ID",foreignField:"Machine_ID",as:"Docs2"}},{$match:{"Docs2.value_points":{$gt:70}}},{$project:{Name:1,_id:0}}])</t>
  </si>
  <si>
    <t>Which products has been complained by the customer who has filed least amount of complaints?</t>
  </si>
  <si>
    <t>SELECT DISTINCT t1.product_name FROM products AS t1 JOIN complaints AS t2 ON t1.product_id = t2.product_id JOIN customers AS t3 GROUP BY t3.customer_id ORDER BY count(*) LIMIT 1</t>
  </si>
  <si>
    <t>db.Customers.aggregate([{$unwind:"$Complaints"},{$group:{_id:"$customer_id",count:{$sum:1}}},{$sort:{count:1}},{$limit:1},{$lookup:{from:"Customers",localField:"_id",foreignField:"customer_id",as:"Docs1"}},{$unwind:"$Docs1"},{$unwind:"$Docs1.Complaints"},{$lookup:{from:"Products",localField:"Docs1.Complaints.product_id",foreignField:"product_id",as:"Docs2"}},{$unwind:"$Docs2"},{$group:{_id:"$Docs2.product_id",product_name:{$first:"$Docs2.product_name"}}},{$project:{_id:0,product_name:1}}])</t>
  </si>
  <si>
    <t>What are the student ids of students who don't have any allergies?</t>
  </si>
  <si>
    <t>SELECT StuID FROM Student EXCEPT SELECT StuID FROM Has_allergy</t>
  </si>
  <si>
    <t>db.Student.find({Has_Allergy:[]},{StuID:1,_id:0})</t>
  </si>
  <si>
    <t>Show names of technicians in ascending order of quality rank of the machine they are assigned.</t>
  </si>
  <si>
    <t>SELECT T3.Name FROM repair_assignment AS T1 JOIN machine AS T2 ON T1.machine_id = T2.machine_id JOIN technician AS T3 ON T1.technician_ID = T3.technician_ID ORDER BY T2.quality_rank</t>
  </si>
  <si>
    <t>db.technician.aggregate([{$lookup:{from:"machine",localField:"technician_id",foreignField:"repair_assignment.technician_id",as:"Docs1"}},{$unwind:"$Docs1"},{$sort:{"Docs1.quality_rank":1}},{$project:{Name:1,_id:0}}])</t>
  </si>
  <si>
    <t>Find the team names of the universities whose enrollments are smaller than the average enrollment size.</t>
  </si>
  <si>
    <t>SELECT t2.team_name FROM university AS t1 JOIN basketball_match AS t2 ON t1.school_id = t2.school_id WHERE enrollment &lt; (SELECT avg(enrollment) FROM university)</t>
  </si>
  <si>
    <t>db.university.aggregate([{$lookup:{from:"university",let:{avg_Enrollment:{$avg:"$Enrollment"}},pipeline:[{$match:{$expr:{$lt:["$Enrollment","$$avg_Enrollment"]}}},{$unwind:"$basketball_match"},{$project:{_id:0,Team_Name:"$basketball_match.Team_Name"}}],as:"Docs1"}},{$unwind:"$Docs1"},{$project:{Team_Name:"$Docs1.Team_Name",_id:0}}])</t>
  </si>
  <si>
    <t>Show names for all employees who do not have certificate of Boeing 737-800.</t>
  </si>
  <si>
    <t>SELECT name FROM Employee EXCEPT SELECT T1.name FROM Employee AS T1 JOIN Certificate AS T2 ON T1.eid = T2.eid JOIN Aircraft AS T3 ON T3.aid = T2.aid WHERE T3.name = 'Boeing 737-800'</t>
  </si>
  <si>
    <t>db.employee.aggregate([{$lookup:{from:"aircraft",localField:"certificate.aid",foreignField:"aid",as:"Docs1"}},{$match:{"Docs1.name":{$ne:"Boeing 737-800"}}},{$project:{name:1,_id:0}}])</t>
  </si>
  <si>
    <t>Find the distinct last names of all the students who have president votes and whose advisor is 8741.</t>
  </si>
  <si>
    <t>SELECT DISTINCT T1.LName FROM STUDENT AS T1 JOIN VOTING_RECORD AS T2 ON T1.StuID = PRESIDENT_Vote INTERSECT SELECT DISTINCT LName FROM STUDENT WHERE Advisor = '8741'</t>
  </si>
  <si>
    <t>db.Student.aggregate([{$match:{Advisor:8741,"Voting_record.President_Vote":{$ne:null}}},{$project:{LName:1}},{$group:{_id:null,distinctLastNames:{$addToSet:"$LName"}}},{$project:{_id:0,LName:"$distinctLastNames"}},{$unwind:"$LName"}])</t>
  </si>
  <si>
    <t>List the names of all distinct wines that have scores higher than 90.</t>
  </si>
  <si>
    <t>SELECT Name FROM WINE WHERE score &gt; 90</t>
  </si>
  <si>
    <t>db.grapes.aggregate([{$unwind:"$wine"},{$match:{"wine.Score":{$gt:90}}},{$group:{_id:"$wine.Name"}},{$project:{Name:"$_id",_id:0}}])</t>
  </si>
  <si>
    <t>Show the student id of the oldest student.</t>
  </si>
  <si>
    <t>SELECT StuID FROM Student WHERE age = (SELECT max(age) FROM Student)</t>
  </si>
  <si>
    <t>db.Student.aggregate([{$sort:{Age:-1}},{$limit:1},{$project:{StuID:1,_id:0}}])</t>
  </si>
  <si>
    <t>Show all allergies with type food.</t>
  </si>
  <si>
    <t>SELECT DISTINCT allergy FROM Allergy_type WHERE allergytype = 'food'</t>
  </si>
  <si>
    <t>db.Allergy_Type.aggregate([{$match:{AllergyType:"food"}},{$project:{Allergy:1,_id:0}}])</t>
  </si>
  <si>
    <t>What are the first and last names of the instructors who teach the top 3 number of courses?</t>
  </si>
  <si>
    <t>SELECT T2.Fname , T2.Lname FROM COURSE AS T1 JOIN FACULTY AS T2 ON T1.Instructor = T2.FacID GROUP BY T1.Instructor ORDER BY count(*) DESC LIMIT 3</t>
  </si>
  <si>
    <t>db.Faculty.aggregate([{$unwind:"$Course"},{$group:{_id:"$FacID",courseCount:{$sum:1}}},{$sort:{courseCount:-1}},{$limit:3},{$lookup:{from:"Faculty",localField:"_id",foreignField:"FacID",as:"Docs1"}},{$unwind:"$Docs1"},{$project:{Fname:"$Docs1.Fname",Lname:"$Docs1.Lname",_id:0}}])</t>
  </si>
  <si>
    <t>Show the names of editors that are on the committee of journals with sales bigger than 3000.</t>
  </si>
  <si>
    <t>SELECT T2.Name FROM journal_committee AS T1 JOIN editor AS T2 ON T1.Editor_ID = T2.Editor_ID JOIN journal AS T3 ON T1.Journal_ID = T3.Journal_ID WHERE T3.Sales &gt; 3000</t>
  </si>
  <si>
    <t>db.editor.aggregate([{$lookup:{from:"journal",localField:"journal_committee.Journal_ID",foreignField:"Journal_ID",as:"Docs1"}},{$match:{"Docs1.Sales":{$gt:3000}}},{$project:{Name:1,_id:0}}])</t>
  </si>
  <si>
    <t>No remaining general translator defect was identified among these 110 failures. The discrepancies arise from gold-MQL semantic differences, invalid or ambiguous gold SQL, unresolved ordering ties, physical duplication in the MongoDB representation, an absent schema field, or an NLQ–SQL mismatch.</t>
  </si>
  <si>
    <t>Action</t>
  </si>
  <si>
    <t>Gold SQL references PRESIDENT_Vote, a field absent from the MongoDB data, so the expected result cannot be produced from the benchmark database.</t>
  </si>
  <si>
    <t>Review cluster</t>
  </si>
  <si>
    <t>TEND family</t>
  </si>
  <si>
    <t>Family IDs</t>
  </si>
  <si>
    <t>Failed example IDs</t>
  </si>
  <si>
    <t>Representative failed NLQ</t>
  </si>
  <si>
    <t>Pred failures</t>
  </si>
  <si>
    <t>Gold failures</t>
  </si>
  <si>
    <t>DAIL SQL variants</t>
  </si>
  <si>
    <t>Known gold issue</t>
  </si>
  <si>
    <t>SQL prediction errors</t>
  </si>
  <si>
    <t>Translator defects</t>
  </si>
  <si>
    <t>Reviewed failures</t>
  </si>
  <si>
    <t>Status</t>
  </si>
  <si>
    <t>Cluster finding</t>
  </si>
  <si>
    <t>25–29</t>
  </si>
  <si>
    <t>Identify the department that has the smallest number of members.</t>
  </si>
  <si>
    <t>Reviewed</t>
  </si>
  <si>
    <t>40–44</t>
  </si>
  <si>
    <t>41</t>
  </si>
  <si>
    <t>What are the names of wines, sorted in alphabetical order?</t>
  </si>
  <si>
    <t>65–69</t>
  </si>
  <si>
    <t>69</t>
  </si>
  <si>
    <t>e_learning</t>
  </si>
  <si>
    <t>What are the subject IDs, names, and how many courses are available for each subject?</t>
  </si>
  <si>
    <t>95–99</t>
  </si>
  <si>
    <t>99</t>
  </si>
  <si>
    <t>Who is the course author for "advanced database", and what is their login name?</t>
  </si>
  <si>
    <t>115–119</t>
  </si>
  <si>
    <t>119</t>
  </si>
  <si>
    <t>Can you tell me the school colors for the institution that has the largest number of enrollments?</t>
  </si>
  <si>
    <t>195–199</t>
  </si>
  <si>
    <t>196</t>
  </si>
  <si>
    <t>hr_1</t>
  </si>
  <si>
    <t>What is all the information regarding employees with salaries above the minimum and under 2500?</t>
  </si>
  <si>
    <t>205–209</t>
  </si>
  <si>
    <t>205, 207, 208, 209</t>
  </si>
  <si>
    <t>flight_4</t>
  </si>
  <si>
    <t>How many cities are there that have more than 3 airports?</t>
  </si>
  <si>
    <t>225–229</t>
  </si>
  <si>
    <t>228, 229</t>
  </si>
  <si>
    <t>county_public_safety</t>
  </si>
  <si>
    <t>Identify the location that has the greatest number of counties.</t>
  </si>
  <si>
    <t>230–234</t>
  </si>
  <si>
    <t>230, 231, 232, 233, 234</t>
  </si>
  <si>
    <t>Find the appelations that produce wines after the year of 2008 but not in Central Coast area.</t>
  </si>
  <si>
    <t>235–239</t>
  </si>
  <si>
    <t>238, 239</t>
  </si>
  <si>
    <t>What is the count of students associated with each allergy type?</t>
  </si>
  <si>
    <t>285–289</t>
  </si>
  <si>
    <t>288</t>
  </si>
  <si>
    <t>ship_1</t>
  </si>
  <si>
    <t>List the ship classes that contain more than two captains.</t>
  </si>
  <si>
    <t>300–304</t>
  </si>
  <si>
    <t>300, 302</t>
  </si>
  <si>
    <t>Show all allergy types.</t>
  </si>
  <si>
    <t>325–329</t>
  </si>
  <si>
    <t>327</t>
  </si>
  <si>
    <t>pilot_record</t>
  </si>
  <si>
    <t>Show the distinct titles of pilots aged more than 30 years.</t>
  </si>
  <si>
    <t>330–334</t>
  </si>
  <si>
    <t>331</t>
  </si>
  <si>
    <t>How many distinct allergies are there?</t>
  </si>
  <si>
    <t>355–359</t>
  </si>
  <si>
    <t>355</t>
  </si>
  <si>
    <t>Find the name, city, and country of the airport that has the highest latitude.</t>
  </si>
  <si>
    <t>385–389</t>
  </si>
  <si>
    <t>387, 388, 389</t>
  </si>
  <si>
    <t>Show the names and hire dates of all employees who work in Clara's department.</t>
  </si>
  <si>
    <t>395–399</t>
  </si>
  <si>
    <t>399</t>
  </si>
  <si>
    <t>Provide the IDs of students who are affected by at least two different allergies.</t>
  </si>
  <si>
    <t>400–404</t>
  </si>
  <si>
    <t>404</t>
  </si>
  <si>
    <t>Can you tell me the least and most severe crime rates across the counties?</t>
  </si>
  <si>
    <t>405–409</t>
  </si>
  <si>
    <t>407, 409</t>
  </si>
  <si>
    <t>What is the total number of customers belonging to the customer type that has the highest count?</t>
  </si>
  <si>
    <t>460, 461, 462, 463, 464</t>
  </si>
  <si>
    <t>470–474</t>
  </si>
  <si>
    <t>472</t>
  </si>
  <si>
    <t>List the most recent logon dates for students with the last names "Jaskolski" or "Langosh".</t>
  </si>
  <si>
    <t>495–499</t>
  </si>
  <si>
    <t>497, 498</t>
  </si>
  <si>
    <t>cre_Docs_and_Epenses</t>
  </si>
  <si>
    <t>Provide the statement ID and details for the statement that has the highest number of associated accounts.</t>
  </si>
  <si>
    <t>515–519</t>
  </si>
  <si>
    <t>515, 516, 518</t>
  </si>
  <si>
    <t>cinema</t>
  </si>
  <si>
    <t>Show all directors.</t>
  </si>
  <si>
    <t>565–569</t>
  </si>
  <si>
    <t>568, 569</t>
  </si>
  <si>
    <t>List the countries where the mountains exceed a height of 5000 meters.</t>
  </si>
  <si>
    <t>570–574</t>
  </si>
  <si>
    <t>574</t>
  </si>
  <si>
    <t>What is the last name of the employee who handled the complaint for the cheapest product available?</t>
  </si>
  <si>
    <t>595–599</t>
  </si>
  <si>
    <t>597</t>
  </si>
  <si>
    <t>List each advisor along with the total number of students they oversee.</t>
  </si>
  <si>
    <t>610–614</t>
  </si>
  <si>
    <t>612</t>
  </si>
  <si>
    <t>List the counties of appellations that have three or fewer types of wines.</t>
  </si>
  <si>
    <t>620–624</t>
  </si>
  <si>
    <t>620, 623</t>
  </si>
  <si>
    <t>What is the total and minimum enrollment of all schools?</t>
  </si>
  <si>
    <t>630–634</t>
  </si>
  <si>
    <t>631</t>
  </si>
  <si>
    <t>What is the mean sales figure for journals edited by individuals whose work type is classified as 'Photo'?</t>
  </si>
  <si>
    <t>635–639</t>
  </si>
  <si>
    <t>637</t>
  </si>
  <si>
    <t>Identify the mountain range with the greatest number of peaks.</t>
  </si>
  <si>
    <t>645–649</t>
  </si>
  <si>
    <t>649</t>
  </si>
  <si>
    <t>Show the names and types of ships that do not yet have a captain associated with them.</t>
  </si>
  <si>
    <t>660–664</t>
  </si>
  <si>
    <t>662, 663</t>
  </si>
  <si>
    <t>Identify the varieties of white grapes that are utilized for wines with scores exceeding 90.</t>
  </si>
  <si>
    <t>670–674</t>
  </si>
  <si>
    <t>673, 674</t>
  </si>
  <si>
    <t>List the full names of employees whose salaries exceed that of the employee with ID 163.</t>
  </si>
  <si>
    <t>675–679</t>
  </si>
  <si>
    <t>676</t>
  </si>
  <si>
    <t>Find the team of each player and sort them in ascending alphabetical order.</t>
  </si>
  <si>
    <t>680, 681, 682, 683, 684</t>
  </si>
  <si>
    <t>705–709</t>
  </si>
  <si>
    <t>708</t>
  </si>
  <si>
    <t>Identify the color of the grape which has the most expensive wine on average.</t>
  </si>
  <si>
    <t>720, 721, 722, 723, 724</t>
  </si>
  <si>
    <t>730–734</t>
  </si>
  <si>
    <t>732</t>
  </si>
  <si>
    <t>Identify locations where there is at least one movie theater with a capacity larger than 300, and there are multiple theaters present.</t>
  </si>
  <si>
    <t>740–744</t>
  </si>
  <si>
    <t>744</t>
  </si>
  <si>
    <t>voter_1</t>
  </si>
  <si>
    <t>What’s the vote tally for contestants from New York and California?</t>
  </si>
  <si>
    <t>780–784</t>
  </si>
  <si>
    <t>782, 783, 784</t>
  </si>
  <si>
    <t>Identify the ranks of captains who serve on both Cutter and Armed schooner vessels.</t>
  </si>
  <si>
    <t>790–794</t>
  </si>
  <si>
    <t>790, 792</t>
  </si>
  <si>
    <t>Find the names of departments that are either in division AS or in division EN and in Building NEB.</t>
  </si>
  <si>
    <t>795–799</t>
  </si>
  <si>
    <t>796, 799</t>
  </si>
  <si>
    <t>gas_company</t>
  </si>
  <si>
    <t>What is the minimum, maximum, and average market value for every company?</t>
  </si>
  <si>
    <t>800–804</t>
  </si>
  <si>
    <t>802, 804</t>
  </si>
  <si>
    <t>What courses are available on Monday, Tuesday, and Wednesday?</t>
  </si>
  <si>
    <t>810–814</t>
  </si>
  <si>
    <t>811</t>
  </si>
  <si>
    <t>What are the starting years shared by the technicians from the team "CLE" or "CWS"?</t>
  </si>
  <si>
    <t>820–824</t>
  </si>
  <si>
    <t>822, 823, 824</t>
  </si>
  <si>
    <t>Identify the cities with over two airports, arranged by the number of airports.</t>
  </si>
  <si>
    <t>825–829</t>
  </si>
  <si>
    <t>826</t>
  </si>
  <si>
    <t>How many advisors are there?</t>
  </si>
  <si>
    <t>850–854</t>
  </si>
  <si>
    <t>854</t>
  </si>
  <si>
    <t>Display the crime rates of counties sorted by the ascending count of police personnel.</t>
  </si>
  <si>
    <t>865–869</t>
  </si>
  <si>
    <t>865, 867, 868</t>
  </si>
  <si>
    <t>List the main industry with highest total market value and its number of companies.</t>
  </si>
  <si>
    <t>875–879</t>
  </si>
  <si>
    <t>878</t>
  </si>
  <si>
    <t>musical</t>
  </si>
  <si>
    <t>Provide the names of actors arranged in descending order according to the year their musical was honored.</t>
  </si>
  <si>
    <t>895–899</t>
  </si>
  <si>
    <t>895, 897, 898, 899</t>
  </si>
  <si>
    <t>What is the highest acc percent score in the competition?</t>
  </si>
  <si>
    <t>925–929</t>
  </si>
  <si>
    <t>929</t>
  </si>
  <si>
    <t>Determine the count of various captain ranks available.</t>
  </si>
  <si>
    <t>945–949</t>
  </si>
  <si>
    <t>949</t>
  </si>
  <si>
    <t>device</t>
  </si>
  <si>
    <t>Retrieve locations that host shops opened after 2012 along with those that were launched before the year 2008.</t>
  </si>
  <si>
    <t>950–954</t>
  </si>
  <si>
    <t>953, 954</t>
  </si>
  <si>
    <t>Identify all cities in the US with more than three airports.</t>
  </si>
  <si>
    <t>955, 956, 957, 958, 959</t>
  </si>
  <si>
    <t>960–964</t>
  </si>
  <si>
    <t>962</t>
  </si>
  <si>
    <t>Which academic major boasts the highest student enrollment?</t>
  </si>
  <si>
    <t>975–979</t>
  </si>
  <si>
    <t>978, 979</t>
  </si>
  <si>
    <t>Provide the case burden statistics for counties, arranged from highest to lowest population.</t>
  </si>
  <si>
    <t>980–984</t>
  </si>
  <si>
    <t>983, 984</t>
  </si>
  <si>
    <t>Identify majors with a student count of less than three.</t>
  </si>
  <si>
    <t>995, 996, 997, 998, 999</t>
  </si>
  <si>
    <t>1025–1029</t>
  </si>
  <si>
    <t>1026</t>
  </si>
  <si>
    <t>What are the addresses of the course authors who teach either "operating system" or "data structure" course.</t>
  </si>
  <si>
    <t>1035–1039</t>
  </si>
  <si>
    <t>1035, 1036, 1037, 1038, 1039</t>
  </si>
  <si>
    <t>Show all the locations where no cinema has capacity over 800.</t>
  </si>
  <si>
    <t>1065–1069</t>
  </si>
  <si>
    <t>1068</t>
  </si>
  <si>
    <t>Please give me the details of the product titled "Chocolate."</t>
  </si>
  <si>
    <t>1070, 1071, 1072, 1073</t>
  </si>
  <si>
    <t>1105–1109</t>
  </si>
  <si>
    <t>1109</t>
  </si>
  <si>
    <t>school_bus</t>
  </si>
  <si>
    <t>What is the range and average of years that drivers have dedicated to working on school buses?</t>
  </si>
  <si>
    <t>1110–1114</t>
  </si>
  <si>
    <t>1111, 1114</t>
  </si>
  <si>
    <t>List the names and types of schools that lack a school bus.</t>
  </si>
  <si>
    <t>1150–1154</t>
  </si>
  <si>
    <t>1153</t>
  </si>
  <si>
    <t>Which ships are helmed by captains with the ranks of Midshipman and Lieutenant?</t>
  </si>
  <si>
    <t>1165–1169</t>
  </si>
  <si>
    <t>1165, 1167</t>
  </si>
  <si>
    <t>Show all majors.</t>
  </si>
  <si>
    <t>1175–1179</t>
  </si>
  <si>
    <t>1177</t>
  </si>
  <si>
    <t>List the titles of musicals that nominated Bob Fosse.</t>
  </si>
  <si>
    <t>1180–1184</t>
  </si>
  <si>
    <t>1182</t>
  </si>
  <si>
    <t>Identify the police departments that serve counties situated in both the Eastern and Western regions.</t>
  </si>
  <si>
    <t>1205–1209</t>
  </si>
  <si>
    <t>1205, 1207, 1209</t>
  </si>
  <si>
    <t>display the employee number, name( first name and last name ) and job title for all employees whose salary is more than any salary of those employees whose job title is PU_MAN.</t>
  </si>
  <si>
    <t>1210–1214</t>
  </si>
  <si>
    <t>1214</t>
  </si>
  <si>
    <t>Can you display the youngest, average, and oldest ages of students?</t>
  </si>
  <si>
    <t>1215–1219</t>
  </si>
  <si>
    <t>1217</t>
  </si>
  <si>
    <t>List the names of cities in counties where the crime rate is under 100.</t>
  </si>
  <si>
    <t>1220–1224</t>
  </si>
  <si>
    <t>1222</t>
  </si>
  <si>
    <t>List the first and last names of male faculty members residing in the NEB building.</t>
  </si>
  <si>
    <t>1250–1254</t>
  </si>
  <si>
    <t>1252, 1253</t>
  </si>
  <si>
    <t>List all advisors supervising more than two students.</t>
  </si>
  <si>
    <t>1270–1274</t>
  </si>
  <si>
    <t>1274</t>
  </si>
  <si>
    <t>Provide a count of documents associated with the BK document type code for all project IDs.</t>
  </si>
  <si>
    <t>1275–1279</t>
  </si>
  <si>
    <t>1277</t>
  </si>
  <si>
    <t>What is the total number of universities located in New York?</t>
  </si>
  <si>
    <t>1285–1289</t>
  </si>
  <si>
    <t>1289</t>
  </si>
  <si>
    <t>Can you provide the count of allergies that fall into the animal category?</t>
  </si>
  <si>
    <t>1290–1294</t>
  </si>
  <si>
    <t>1291</t>
  </si>
  <si>
    <t>What are the teams with the most technicians?</t>
  </si>
  <si>
    <t>1310–1314</t>
  </si>
  <si>
    <t>1314</t>
  </si>
  <si>
    <t>Retrieve the various police forces of counties located elsewhere than the East.</t>
  </si>
  <si>
    <t>1320–1324</t>
  </si>
  <si>
    <t>1322, 1323, 1324</t>
  </si>
  <si>
    <t>Identify the advisor who supervises the largest number of students.</t>
  </si>
  <si>
    <t>1330–1334</t>
  </si>
  <si>
    <t>1332, 1333, 1334</t>
  </si>
  <si>
    <t>Identify the manager who has opened the most gas stations since the year 2000.</t>
  </si>
  <si>
    <t>1350–1354</t>
  </si>
  <si>
    <t>1351, 1354</t>
  </si>
  <si>
    <t>List the positions held by pilots, ensuring there are pilots who joined before 2000 and others who joined after 2005.</t>
  </si>
  <si>
    <t>1375–1379</t>
  </si>
  <si>
    <t>1377</t>
  </si>
  <si>
    <t>Can you provide the ages of the youngest and oldest students majoring in 600?</t>
  </si>
  <si>
    <t>1385–1389</t>
  </si>
  <si>
    <t>1388</t>
  </si>
  <si>
    <t>Which shops have more than one type of device available in their inventory?</t>
  </si>
  <si>
    <t>1410–1414</t>
  </si>
  <si>
    <t>1412</t>
  </si>
  <si>
    <t>List the first names of professors within the faculty, sorted in alphabetical order.</t>
  </si>
  <si>
    <t>1425–1429</t>
  </si>
  <si>
    <t>1429</t>
  </si>
  <si>
    <t>Can you provide the count of various complaint type codes in the system?</t>
  </si>
  <si>
    <t>1430, 1431, 1432, 1433, 1434</t>
  </si>
  <si>
    <t>1465–1469</t>
  </si>
  <si>
    <t>1467, 1468</t>
  </si>
  <si>
    <t>Retrieve the statement details along with the names of the documents for those statements labeled as 'Private Project'.</t>
  </si>
  <si>
    <t>1475–1479</t>
  </si>
  <si>
    <t>1477</t>
  </si>
  <si>
    <t>List the denominations that are affiliated with multiple schools.</t>
  </si>
  <si>
    <t>1485–1489</t>
  </si>
  <si>
    <t>1489</t>
  </si>
  <si>
    <t>Retrieve the company name along with its rank, arranged by sales figures in a decreasing fashion.</t>
  </si>
  <si>
    <t>1490–1494</t>
  </si>
  <si>
    <t>1493, 1494</t>
  </si>
  <si>
    <t>Identify the headquarters that are home to companies operating in both the banking and oil &amp; gas industries.</t>
  </si>
  <si>
    <t>1520–1524</t>
  </si>
  <si>
    <t>1524</t>
  </si>
  <si>
    <t>Can you tell me the average cost and number of cases of 2009 Zinfandel wines?</t>
  </si>
  <si>
    <t>1525–1529</t>
  </si>
  <si>
    <t>1525, 1527</t>
  </si>
  <si>
    <t>Which major has the most students?</t>
  </si>
  <si>
    <t>1570–1574</t>
  </si>
  <si>
    <t>1573</t>
  </si>
  <si>
    <t>What is the highest wine price and score recorded for every year?</t>
  </si>
  <si>
    <t>1575–1579</t>
  </si>
  <si>
    <t>1576</t>
  </si>
  <si>
    <t>What are total salaries and department id for each department that has more than 2 employees?</t>
  </si>
  <si>
    <t>1595–1599</t>
  </si>
  <si>
    <t>1599</t>
  </si>
  <si>
    <t>How many different wines correspond to each grape variety?</t>
  </si>
  <si>
    <t>1605–1609</t>
  </si>
  <si>
    <t>1608</t>
  </si>
  <si>
    <t>Retrieve the captain names, their classifications, and ranks for all ships.</t>
  </si>
  <si>
    <t>1615, 1616, 1617, 1619</t>
  </si>
  <si>
    <t>1630–1634</t>
  </si>
  <si>
    <t>1632, 1634</t>
  </si>
  <si>
    <t>What are the names of the advisors for students residing in the city designated by the code "BAL"?</t>
  </si>
  <si>
    <t>1655–1659</t>
  </si>
  <si>
    <t>1658, 1659</t>
  </si>
  <si>
    <t>Can you tell me the name of the advisor for student ID 1004?</t>
  </si>
  <si>
    <t>1665–1669</t>
  </si>
  <si>
    <t>1667, 1668</t>
  </si>
  <si>
    <t>List the wineries that offer four or more types of wine.</t>
  </si>
  <si>
    <t>1670–1674</t>
  </si>
  <si>
    <t>1674</t>
  </si>
  <si>
    <t>Please return the details of the document type named Film.</t>
  </si>
  <si>
    <t>1675–1679</t>
  </si>
  <si>
    <t>1679</t>
  </si>
  <si>
    <t>Show the enrollment numbers for each school that has a denomination other than "Catholic."</t>
  </si>
  <si>
    <t>1700–1704</t>
  </si>
  <si>
    <t>1701</t>
  </si>
  <si>
    <t>For each distinct test result, find the number of students who got the result.</t>
  </si>
  <si>
    <t>1735–1739</t>
  </si>
  <si>
    <t>1736, 1738</t>
  </si>
  <si>
    <t>How many airlines operate out of each country in descending order?</t>
  </si>
  <si>
    <t>1745–1749</t>
  </si>
  <si>
    <t>1745, 1746, 1747, 1748, 1749</t>
  </si>
  <si>
    <t>Find the average price of wines that are not produced from Sonoma county.</t>
  </si>
  <si>
    <t>1760–1764</t>
  </si>
  <si>
    <t>1763</t>
  </si>
  <si>
    <t>Provide the height of the mountain scaled by the climber who earned the most points.</t>
  </si>
  <si>
    <t>1775–1779</t>
  </si>
  <si>
    <t>1776, 1777, 1778, 1779</t>
  </si>
  <si>
    <t>How many total show times does each cinema have per day?</t>
  </si>
  <si>
    <t>1780–1784</t>
  </si>
  <si>
    <t>1784</t>
  </si>
  <si>
    <t>Show me the course names that are registered by exactly one student.</t>
  </si>
  <si>
    <t>1790–1794</t>
  </si>
  <si>
    <t>1793</t>
  </si>
  <si>
    <t>Can you provide the different allergy types and the count of allergies associated with each?</t>
  </si>
  <si>
    <t>1845–1849</t>
  </si>
  <si>
    <t>1849</t>
  </si>
  <si>
    <t>Please show the voting dates, respective states, and phone contacts for votes made for the contestant named 'Tabatha Gehling'.</t>
  </si>
  <si>
    <t>1865, 1866, 1867, 1868, 1869</t>
  </si>
  <si>
    <t>1910–1914</t>
  </si>
  <si>
    <t>1912, 1913, 1914</t>
  </si>
  <si>
    <t>What is the allergy type with the fewest cases reported?</t>
  </si>
  <si>
    <t>1920–1924</t>
  </si>
  <si>
    <t>1923, 1924</t>
  </si>
  <si>
    <t>List the names and hiring dates of employees sharing the same department as Clara, excluding her from the results.</t>
  </si>
  <si>
    <t>1980–1984</t>
  </si>
  <si>
    <t>1982</t>
  </si>
  <si>
    <t>What are the complaint status codes that exceed three recorded complaints?</t>
  </si>
  <si>
    <t>2010–2014</t>
  </si>
  <si>
    <t>2013</t>
  </si>
  <si>
    <t>How many different airlines are registered in Russia?</t>
  </si>
  <si>
    <t>2030–2034</t>
  </si>
  <si>
    <t>2034</t>
  </si>
  <si>
    <t>Display the types of schools where there are exactly two schools available.</t>
  </si>
  <si>
    <t>2040–2044</t>
  </si>
  <si>
    <t>2042, 2044</t>
  </si>
  <si>
    <t>How many students aged above 18 do not have allergies related to food or animals?</t>
  </si>
  <si>
    <t>2063</t>
  </si>
  <si>
    <t>Retrieve the names of the products associated with complaints from the customer who has made the least number of complaints.</t>
  </si>
  <si>
    <t>2065–2069</t>
  </si>
  <si>
    <t>2067</t>
  </si>
  <si>
    <t>List the names of wines produced from red grapes that cost more than 50.</t>
  </si>
  <si>
    <t>2098, 2099</t>
  </si>
  <si>
    <t>Provide the names of students who do not have any allergies.</t>
  </si>
  <si>
    <t>2115–2119</t>
  </si>
  <si>
    <t>2118</t>
  </si>
  <si>
    <t>How many tests resulted in a failure?</t>
  </si>
  <si>
    <t>2130–2134</t>
  </si>
  <si>
    <t>2131, 2132, 2133, 2134</t>
  </si>
  <si>
    <t>What are the headquarters without companies that are in the banking industry?</t>
  </si>
  <si>
    <t>2140–2144</t>
  </si>
  <si>
    <t>Show me the different states and the corresponding times when votes were made.</t>
  </si>
  <si>
    <t>2145–2149</t>
  </si>
  <si>
    <t>2149</t>
  </si>
  <si>
    <t>Provide the locations where cinemas have been established in the years 2010 and 2011.</t>
  </si>
  <si>
    <t>2150–2154</t>
  </si>
  <si>
    <t>2153</t>
  </si>
  <si>
    <t>Retrieve the name of the driver that has spent the most time working with a school bus.</t>
  </si>
  <si>
    <t>2170–2174</t>
  </si>
  <si>
    <t>2174</t>
  </si>
  <si>
    <t>List the department ids for those departments where a manager oversees four or more employees.</t>
  </si>
  <si>
    <t>2180–2184</t>
  </si>
  <si>
    <t>2182, 2183, 2184</t>
  </si>
  <si>
    <t>List each player along with their corresponding team and the school's location.</t>
  </si>
  <si>
    <t>2185–2189</t>
  </si>
  <si>
    <t>Which course has the highest number of student registrations?</t>
  </si>
  <si>
    <t>2190, 2191, 2192, 2193, 2194</t>
  </si>
  <si>
    <t>2205–2209</t>
  </si>
  <si>
    <t>2208</t>
  </si>
  <si>
    <t>How many different budget codes are there?</t>
  </si>
  <si>
    <t>2220–2224</t>
  </si>
  <si>
    <t>2223, 2224</t>
  </si>
  <si>
    <t>Which countries have mountains with altitudes greater than 5600 and also those with altitudes under 5200?</t>
  </si>
  <si>
    <t>2240–2244</t>
  </si>
  <si>
    <t>2242, 2243, 2244</t>
  </si>
  <si>
    <t>What category of allergy corresponds to cats?</t>
  </si>
  <si>
    <t>2250–2254</t>
  </si>
  <si>
    <t>2252</t>
  </si>
  <si>
    <t>What is the total number of schools that participate in basketball matches?</t>
  </si>
  <si>
    <t>2255–2259</t>
  </si>
  <si>
    <t>2255, 2256</t>
  </si>
  <si>
    <t>What are the name of courses that have at least five enrollments?</t>
  </si>
  <si>
    <t>2265–2269</t>
  </si>
  <si>
    <t>2267, 2269</t>
  </si>
  <si>
    <t>What rooms do professors occupy in the NEB building?</t>
  </si>
  <si>
    <t>2285, 2286, 2287, 2288, 2289</t>
  </si>
  <si>
    <t>2295–2299</t>
  </si>
  <si>
    <t>2297</t>
  </si>
  <si>
    <t>How many routes are operated by each airline in every country?</t>
  </si>
  <si>
    <t>2325–2329</t>
  </si>
  <si>
    <t>2325, 2326, 2327, 2328, 2329</t>
  </si>
  <si>
    <t>Find the last names of faculties who are members of computer science department.</t>
  </si>
  <si>
    <t>2335–2339</t>
  </si>
  <si>
    <t>2339</t>
  </si>
  <si>
    <t>What are the majors along with the respective student counts?</t>
  </si>
  <si>
    <t>2365–2369</t>
  </si>
  <si>
    <t>2369</t>
  </si>
  <si>
    <t>Show the full names and salaries of those employees with a salary under 6000.</t>
  </si>
  <si>
    <t>2390–2394</t>
  </si>
  <si>
    <t>2392</t>
  </si>
  <si>
    <t>Identify the parties represented by drivers from Hartford aged over 40.</t>
  </si>
  <si>
    <t>2395–2399</t>
  </si>
  <si>
    <t>2399</t>
  </si>
  <si>
    <t>What locations are available that feature a cinema?</t>
  </si>
  <si>
    <t>2410–2414</t>
  </si>
  <si>
    <t>2412, 2413, 2414</t>
  </si>
  <si>
    <t>Can you provide a list of software platforms for devices sorted by the number of occurrences in descending order?</t>
  </si>
  <si>
    <t>2450–2454</t>
  </si>
  <si>
    <t>2454</t>
  </si>
  <si>
    <t>How many unique climbers have been noted?</t>
  </si>
  <si>
    <t>2460–2464</t>
  </si>
  <si>
    <t>2461, 2462</t>
  </si>
  <si>
    <t>What are the schools that were either founded before 1850 or are public?</t>
  </si>
  <si>
    <t>2470, 2471, 2472, 2473, 2474</t>
  </si>
  <si>
    <t>2495–2499</t>
  </si>
  <si>
    <t>2497</t>
  </si>
  <si>
    <t>Provide a list of basketball teams, arranged in order of their total home game scores from highest to lowest.</t>
  </si>
  <si>
    <t>2500–2504</t>
  </si>
  <si>
    <t>2500, 2502, 2503</t>
  </si>
  <si>
    <t>Find the names of the top 10 airlines that operate the most number of routes.</t>
  </si>
  <si>
    <t>2515, 2516, 2518</t>
  </si>
  <si>
    <t>2520–2524</t>
  </si>
  <si>
    <t>2524</t>
  </si>
  <si>
    <t>List the full names of employees associated with either department 70 or department 90.</t>
  </si>
  <si>
    <t>2535–2539</t>
  </si>
  <si>
    <t>2535, 2537</t>
  </si>
  <si>
    <t>What is the team name and acc regular season score of the school that was founded for the longest time?</t>
  </si>
  <si>
    <t>2540–2544</t>
  </si>
  <si>
    <t>2542, 2544</t>
  </si>
  <si>
    <t>What is the mean grade point for students named Smith?</t>
  </si>
  <si>
    <t>2555, 2556, 2557, 2558, 2559</t>
  </si>
  <si>
    <t>2570–2574</t>
  </si>
  <si>
    <t>Identify the airline that has the highest number of routes.</t>
  </si>
  <si>
    <t>2580–2584</t>
  </si>
  <si>
    <t>2584</t>
  </si>
  <si>
    <t>Show me the prices of all products that have a clean record with no complaints.</t>
  </si>
  <si>
    <t>2585–2589</t>
  </si>
  <si>
    <t>2587</t>
  </si>
  <si>
    <t>What date did students enroll in the Spanish course?</t>
  </si>
  <si>
    <t>2601, 2602</t>
  </si>
  <si>
    <t>What are all the different food allergies?</t>
  </si>
  <si>
    <t>2605–2609</t>
  </si>
  <si>
    <t>2606, 2607, 2608</t>
  </si>
  <si>
    <t>Identify the area codes where voting occurred for both 'Tabatha Gehling' and 'Kelly Clauss'.</t>
  </si>
  <si>
    <t>2645–2649</t>
  </si>
  <si>
    <t>2646, 2647, 2649</t>
  </si>
  <si>
    <t>What is the name, type, and flag of the ship that was built in the most recent year?</t>
  </si>
  <si>
    <t>2655–2659</t>
  </si>
  <si>
    <t>2658</t>
  </si>
  <si>
    <t>List the job titles along with the average salaries of their respective employees.</t>
  </si>
  <si>
    <t>2680–2684</t>
  </si>
  <si>
    <t>2680, 2681, 2682, 2683</t>
  </si>
  <si>
    <t>Show all cities where students live.</t>
  </si>
  <si>
    <t>2690–2694</t>
  </si>
  <si>
    <t>2694</t>
  </si>
  <si>
    <t>Identify departments that currently have employees and retrieve their names.</t>
  </si>
  <si>
    <t>2695–2699</t>
  </si>
  <si>
    <t>2695, 2698, 2699</t>
  </si>
  <si>
    <t>Show all main industry for all companies.</t>
  </si>
  <si>
    <t>2725–2729</t>
  </si>
  <si>
    <t>2728</t>
  </si>
  <si>
    <t>Identify the country with the most active airlines.</t>
  </si>
  <si>
    <t>2735, 2737, 2738, 2739</t>
  </si>
  <si>
    <t>2750–2754</t>
  </si>
  <si>
    <t>2754</t>
  </si>
  <si>
    <t>How many airlines are currently in the database?</t>
  </si>
  <si>
    <t>2755–2759</t>
  </si>
  <si>
    <t>2759</t>
  </si>
  <si>
    <t>Provide the IDs for documents that have a budget type noted as 'Government'.</t>
  </si>
  <si>
    <t>2760–2764</t>
  </si>
  <si>
    <t>2762</t>
  </si>
  <si>
    <t>Calculate the total student enrollment for universities established post-1850, categorized by their affiliations.</t>
  </si>
  <si>
    <t>2765–2769</t>
  </si>
  <si>
    <t>2769</t>
  </si>
  <si>
    <t>Can you list the dates on which the student Zieme, with the first name Bernie, registered for and completed his courses?</t>
  </si>
  <si>
    <t>2770–2774</t>
  </si>
  <si>
    <t>2772, 2774</t>
  </si>
  <si>
    <t>Identify the advisors with more than two students assigned to them.</t>
  </si>
  <si>
    <t>Example ID</t>
  </si>
  <si>
    <t>NLQ</t>
  </si>
  <si>
    <t>Gold EX</t>
  </si>
  <si>
    <t>Pred EX</t>
  </si>
  <si>
    <t>DAIL-predicted SQL</t>
  </si>
  <si>
    <t>Translator MQL (normalized)</t>
  </si>
  <si>
    <t>Evaluation failure bucket</t>
  </si>
  <si>
    <t>SQL prediction error?</t>
  </si>
  <si>
    <t>Translator defect?</t>
  </si>
  <si>
    <t>Known benchmark issue</t>
  </si>
  <si>
    <t>Final attribution</t>
  </si>
  <si>
    <t>SELECT T1.DName FROM DEPARTMENT AS T1 JOIN MEMBER_OF AS T2 ON T1.DNO = T2.DNO GROUP BY T2.DNO ORDER BY count(*) ASC LIMIT 1</t>
  </si>
  <si>
    <t>db.Department.aggregate([{$unwind:"$Member_of"},{$group:{_id:"$DName",memberCount:{$sum:1}}},{$sort:{memberCount:1}},{$limit:1},{$project:{_id:0,DName:"$_id"}}])</t>
  </si>
  <si>
    <t>stage_mismatch</t>
  </si>
  <si>
    <t>No</t>
  </si>
  <si>
    <t>Yes</t>
  </si>
  <si>
    <t>Which department is associated with the least number of members?</t>
  </si>
  <si>
    <t>SELECT DName FROM Department GROUP BY DNO ORDER BY count(*) ASC LIMIT 1;</t>
  </si>
  <si>
    <t>db.Department.aggregate([{$group:{_id:"$DNO",count:{$sum:1},DName:{$min:"$DName"}}},{$sort:{count:1}},{$limit:1},{$project:{DName:1,_id:0}}])</t>
  </si>
  <si>
    <t>DAIL-SQL prediction error</t>
  </si>
  <si>
    <t>What department has the lowest member count?</t>
  </si>
  <si>
    <t>SELECT DName FROM Department GROUP BY DName ORDER BY COUNT(*) LIMIT 1;</t>
  </si>
  <si>
    <t>db.Department.aggregate([{$group:{_id:"$DName",count:{$sum:1}}},{$sort:{count:1}},{$limit:1},{$project:{DName:"$_id",_id:0}}])</t>
  </si>
  <si>
    <t>SELECT DISTINCT Name FROM WINE ORDER BY Name</t>
  </si>
  <si>
    <t>SELECT Name FROM wine ORDER BY Name ASC</t>
  </si>
  <si>
    <t>db.appellations.aggregate([{$unwind:"$wine"},{$project:{Name:"$wine.Name",_id:0}},{$sort:{Name:1}}])</t>
  </si>
  <si>
    <t>db.appellations.aggregate([{$unwind:"$wine"},{$group:{_id:null,names:{$addToSet:"$wine.Name"}}},{$unwind:"$names"},{$sort:{names:1}},{$project:{_id:0,Name:"$names"}}])</t>
  </si>
  <si>
    <t>same_fields_wrong_values</t>
  </si>
  <si>
    <t>NLQ–gold SQL underspecification</t>
  </si>
  <si>
    <r>
      <t xml:space="preserve">The DAIL SQL omits </t>
    </r>
    <r>
      <rPr>
        <sz val="10"/>
        <color theme="1"/>
        <rFont val="Arial Unicode MS"/>
      </rPr>
      <t>DISTINCT</t>
    </r>
    <r>
      <rPr>
        <sz val="11"/>
        <color theme="1"/>
        <rFont val="Aptos Narrow"/>
        <family val="2"/>
      </rPr>
      <t xml:space="preserve"> and correctly returns 500 rows, whereas gold SQL returns 294 unique names; because this NLQ requests alphabetical ordering but does not specify distinct or duplicate-free results, the mismatch is a benchmark annotation ambiguity rather than a translator defect.</t>
    </r>
  </si>
  <si>
    <t>SELECT T1.subject_id , T2.subject_name , COUNT(*) FROM Courses AS T1 JOIN Subjects AS T2 ON T1.subject_id = T2.subject_id GROUP BY T1.subject_id</t>
  </si>
  <si>
    <t>SELECT subject_id, subject_name, count(*) FROM Courses GROUP BY subject_id, subject_name</t>
  </si>
  <si>
    <t>db.Course_Authors_and_Tutors.aggregate([{$unwind:"$Courses"},{$group:{_id:{Courses_subject_id:"$Courses.subject_id",subject_name:"$Courses.subject_name"},count:{$sum:1}}},{$project:{subject_id:"$_id.Courses_subject_id",subject_name:"$_id.subject_name",count:1,_id:0}}])</t>
  </si>
  <si>
    <t>db.Subjects.aggregate([{$project:{_id:0,subject_id:1,subject_name:1,COUNT:{$size:"$Courses"}}}])</t>
  </si>
  <si>
    <t>missing_prediction_fields</t>
  </si>
  <si>
    <t>SELECT T1.login_name FROM Course_Authors_and_Tutors AS T1 JOIN Courses AS T2 ON T1.author_id = T2.author_id WHERE T2.course_name = 'advanced database'</t>
  </si>
  <si>
    <t>SELECT t1.personal_name, t1.login_name FROM Course_Authors_and_Tutors AS t1 JOIN Courses AS t2 ON t1.author_id = t2.author_id JOIN Subjects AS t3 ON t2.subject_id = t3.subject_id WHERE t3.subject_name = 'advanced database'</t>
  </si>
  <si>
    <t>db.Course_Authors_and_Tutors.aggregate([{$unwind:"$Courses"},{$lookup:{from:"Subjects",localField:"Courses.subject_id",foreignField:"subject_id",as:"Docs1"}},{$unwind:"$Docs1"},{$match:{"Docs1.subject_name":"advanced database"}},{$project:{personal_name:1,login_name:1,_id:0}}])</t>
  </si>
  <si>
    <t>db.Course_Authors_and_Tutors.aggregate([{$unwind:"$Courses"},{$match:{"Courses.course_name":"advanced database"}},{$project:{login_name:1,_id:0}}])</t>
  </si>
  <si>
    <t>empty_prediction_result</t>
  </si>
  <si>
    <t>SELECT School_Colors FROM school ORDER BY Enrollment DESC LIMIT 1</t>
  </si>
  <si>
    <t>SELECT T1.School_Colors FROM school AS T1 JOIN ( SELECT School_ID, MAX(Enrollment) AS max_enrollment FROM school ) AS T2 ON T1.School_ID = T2.School_ID WHERE T1.Enrollment = T2.max_enrollment</t>
  </si>
  <si>
    <t>db.school.aggregate([{$match:{$lookup:{from:"",localField:"Enrollment",foreignField:"max_enrollment"}}},{$lookup:{from:"school",localField:"School_ID",foreignField:"School_ID",as:"Docs1"}},{$unwind:"$Docs1"},{$project:{School_Colors:"$Docs1.School_Colors",_id:0}}])</t>
  </si>
  <si>
    <t>db.school.aggregate([{$sort:{Enrollment:-1}},{$limit:1},{$project:{School_Colors:1,_id:0}}])</t>
  </si>
  <si>
    <t>SELECT * FROM employees WHERE salary BETWEEN (SELECT MIN(salary) FROM employees) AND 2500</t>
  </si>
  <si>
    <t>SELECT * FROM employees WHERE salary &gt; (SELECT MIN(salary) FROM employees) AND salary &lt; 2500</t>
  </si>
  <si>
    <t>db.jobs.aggregate([{$unwind:"$employees"},{$match:{"employees.SALARY":{$lt:2500}}},{$lookup:{from:"jobs",pipeline:[{$unwind:"$employees"},{$group:{_id:null,col1:{$min:"$employees.SALARY"}}},{$project:{_id:0,col1:1}},{$limit:1}],as:"scalar_subq"}},{$unwind:{path:"$scalar_subq",preserveNullAndEmptyArrays:false}},{$match:{$expr:{$gt:["$employees.SALARY","$scalar_subq.col1"]}}},{$project:{scalar_subq:0}},{$project:{EMPLOYEE_ID:"$employees.EMPLOYEE_ID",FIRST_NAME:"$employees.FIRST_NAME",LAST_NAME:"$employees.LAST_NAME",EMAIL:"$employees.EMAIL",PHONE_NUMBER:"$employees.PHONE_NUMBER",HIRE_DATE:"$employees.HIRE_DATE",JOB_ID:"$employees.JOB_ID",SALARY:"$employees.SALARY",COMMISSION_PCT:"$employees.COMMISSION_PCT",MANAGER_ID:"$employees.MANAGER_ID",DEPARTMENT_ID:"$employees.DEPARTMENT_ID",_id:0}}])</t>
  </si>
  <si>
    <t>db.jobs.aggregate([{$unwind:"$employees"},{$match:{"employees.SALARY":{$gt:0,$lte:2500}}},{$project:{EMPLOYEE_ID:"$employees.EMPLOYEE_ID",FIRST_NAME:"$employees.FIRST_NAME",LAST_NAME:"$employees.LAST_NAME",EMAIL:"$employees.EMAIL",PHONE_NUMBER:"$employees.PHONE_NUMBER",HIRE_DATE:"$employees.HIRE_DATE",JOB_ID:"$employees.JOB_ID",SALARY:"$employees.SALARY",COMMISSION_PCT:"$employees.COMMISSION_PCT",MANAGER_ID:"$employees.MANAGER_ID",DEPARTMENT_ID:"$employees.DEPARTMENT_ID",_id:0}}])</t>
  </si>
  <si>
    <t>SELECT count(*) FROM (SELECT city FROM airports GROUP BY city HAVING count(*) &gt; 3)</t>
  </si>
  <si>
    <t>SELECT count(DISTINCT city) FROM airports GROUP BY city HAVING count(*) &gt; 3;</t>
  </si>
  <si>
    <t>db.airports.aggregate([{$group:{_id:"$city",count:{$sum:1},__distinct_city:{$addToSet:"$city"}}},{$match:{count:{$gt:3}}},{$project:{_id:1,count_distinct_city:{$size:"$__distinct_city"}}},{$project:{count:1,_id:0}}])</t>
  </si>
  <si>
    <t>db.airports.aggregate([{$group:{_id:"$city",count:{$sum:1}}},{$match:{count:{$gt:3}}},{$count:"count"}])</t>
  </si>
  <si>
    <t>What is the number of cities that host more than three airports?</t>
  </si>
  <si>
    <t>How many cities are there with an airport count greater than three?</t>
  </si>
  <si>
    <t>SELECT count(city) FROM airports GROUP BY city HAVING count(*) &gt; 3</t>
  </si>
  <si>
    <t>db.airports.aggregate([{$group:{_id:"$city",count:{$sum:{$cond:[{$gt:["$city",null]},1,0]}}}},{$match:{count:{$gt:3}}},{$project:{count:1,_id:0}}])</t>
  </si>
  <si>
    <t>Can you tell me the total number of cities that have over three airports?</t>
  </si>
  <si>
    <t>SELECT count(DISTINCT city) FROM airports GROUP BY city HAVING count(*) &gt; 3</t>
  </si>
  <si>
    <t>SELECT LOCATION FROM county_public_safety GROUP BY LOCATION ORDER BY COUNT(*) DESC LIMIT 1</t>
  </si>
  <si>
    <t>db.county_public_safety.aggregate([{$group:{_id:"$Location",count:{$sum:1}}},{$sort:{count:-1}},{$limit:1},{$project:{Location:"$_id",_id:0}}])</t>
  </si>
  <si>
    <t>What is the location that the majority of counties belong to?</t>
  </si>
  <si>
    <t>SELECT T2.Location FROM county_public_safety AS T1 JOIN city AS T2 ON T1.County_ID = T2.County_ID GROUP BY T2.Location ORDER BY COUNT(*) DESC LIMIT 1</t>
  </si>
  <si>
    <t>db.county_public_safety.aggregate([{$unwind:"$city"},{$group:{_id:"$Location",count:{$sum:1}}},{$sort:{count:-1}},{$limit:1},{$project:{Location:"$_id",_id:0}}])</t>
  </si>
  <si>
    <t>SELECT Appelation FROM WINE WHERE YEAR &gt; 2008 EXCEPT SELECT Appelation FROM APPELLATIONS WHERE Area = 'Central Coast'</t>
  </si>
  <si>
    <t>SELECT Appelation FROM wine WHERE Year &gt; 2008 AND Appelation NOT IN (SELECT Appelation FROM appellations WHERE Area = 'Central Coast')</t>
  </si>
  <si>
    <t>db.appellations.aggregate([{$unwind:"$wine"},{$match:{"wine.Year":{$gt:2008}}},{$lookup:{from:"appellations",as:"subquery_results",let:{local_field:"$wine.Appelation"},pipeline:[{$match:{Area:"Central Coast"}},{$project:{Appelation:1,_id:0}},{$match:{$expr:{$eq:["$Appelation","$$local_field"]}}},{$limit:1}]}},{$match:{subquery_results:{$eq:[]}}},{$project:{subquery_results:0}},{$project:{Appelation:"$wine.Appelation",_id:0}}])</t>
  </si>
  <si>
    <t>db.appellations.aggregate([{$unwind:"$wine"},{$match:{"wine.Year":{$gt:2008},Area:{$ne:"Central Coast"}}},{$group:{_id:"$Appelation"}},{$project:{Appelation:"$_id",_id:0}}])</t>
  </si>
  <si>
    <t>What are the appelations for wines produced after 2008 but not in the Central Coast area?</t>
  </si>
  <si>
    <t>List the appelations that offer wines made after 2008, excluding any from the Central Coast region.</t>
  </si>
  <si>
    <t>What appelations exist for wines produced following the year 2008 that are not from the Central Coast area?</t>
  </si>
  <si>
    <t>Identify the appelations of wines that are from after 2008 and do not originate from the Central Coast territory.</t>
  </si>
  <si>
    <t>SELECT Allergy , count(*) FROM Has_allergy GROUP BY Allergy</t>
  </si>
  <si>
    <t>SELECT AllergyType, COUNT(StuID) FROM Has_Allergy JOIN Allergy_Type ON Has_Allergy.Allergy = Allergy_Type.Allergy GROUP BY AllergyType</t>
  </si>
  <si>
    <t>db.Allergy_Type.aggregate([{$unwind:"$Has_Allergy"},{$group:{_id:"$AllergyType",count:{$sum:1}}},{$project:{AllergyType:"$_id",count:1,_id:0}}])</t>
  </si>
  <si>
    <t>db.Allergy_Type.aggregate([{$unwind:"$Has_Allergy"},{$group:{_id:"$Has_Allergy.Allergy",count:{$sum:1}}},{$project:{Allergy:"$_id",count:1,_id:0}}])</t>
  </si>
  <si>
    <t>result_field_name_mismatch</t>
  </si>
  <si>
    <t>Provide a breakdown of allergies and how many students are affected by each one.</t>
  </si>
  <si>
    <t>SELECT T2.AllergyType, COUNT(*) FROM Has_Allergy AS T1 JOIN Allergy_Type AS T2 ON T1.Allergy = T2.Allergy GROUP BY T2.AllergyType</t>
  </si>
  <si>
    <t>SELECT CLASS FROM captain GROUP BY CLASS HAVING count(*) &gt; 2</t>
  </si>
  <si>
    <t>SELECT Class, COUNT(*) FROM captain GROUP BY Class HAVING COUNT(*) &gt; 2</t>
  </si>
  <si>
    <t>db.Ship.aggregate([{$unwind:"$captain"},{$group:{_id:"$captain.Class",count:{$sum:1}}},{$match:{count:{$gt:2}}},{$project:{Class:"$_id",count:1,_id:0}}])</t>
  </si>
  <si>
    <t>db.Ship.aggregate([{$unwind:"$captain"},{$group:{_id:"$captain.Class",count:{$sum:1}}},{$match:{count:{$gt:2}}},{$project:{Class:"$_id",_id:0}}])</t>
  </si>
  <si>
    <t>extra_prediction_fields</t>
  </si>
  <si>
    <t>SELECT DISTINCT allergytype FROM Allergy_type</t>
  </si>
  <si>
    <t>SELECT AllergyType FROM Allergy_Type</t>
  </si>
  <si>
    <t>db.Allergy_Type.find({},{AllergyType:1,_id:0})</t>
  </si>
  <si>
    <t>db.Allergy_Type.aggregate([{$group:{_id:"$AllergyType"}},{$project:{_id:0,AllergyType:"$_id"}}])</t>
  </si>
  <si>
    <t>List all types of allergies available.</t>
  </si>
  <si>
    <t>SELECT DISTINCT POSITION FROM pilot WHERE Age &gt; 30</t>
  </si>
  <si>
    <t>SELECT DISTINCT Pilot_name FROM pilot WHERE Age &gt; 30</t>
  </si>
  <si>
    <t>db.pilot.distinct("Pilot_name",{Age:{$gt:30}})</t>
  </si>
  <si>
    <t>db.pilot.aggregate([{$match:{Age:{$gt:30}}},{$group:{_id:"$Position"}},{$project:{_id:0,Position:"$_id"}}])</t>
  </si>
  <si>
    <t>SELECT count(DISTINCT allergytype) FROM Allergy_type</t>
  </si>
  <si>
    <t>SELECT count(DISTINCT Allergy) FROM Allergy_Type</t>
  </si>
  <si>
    <t>db.Allergy_Type.aggregate([{$group:{_id:null,__distinct_Allergy:{$addToSet:"$Allergy"}}},{$project:{_id:0,count_distinct_Allergy:{$size:"$__distinct_Allergy"}}}])</t>
  </si>
  <si>
    <t>db.Allergy_Type.aggregate([{$group:{_id:null,distinctAllergyTypes:{$addToSet:"$AllergyType"}}},{$project:{_id:0,count_DISTINCT_allergytype:{$size:"$distinctAllergyTypes"}}}])</t>
  </si>
  <si>
    <t>SELECT name , city , country FROM airports ORDER BY elevation DESC LIMIT 1</t>
  </si>
  <si>
    <t>SELECT name, city, country FROM airports ORDER BY x DESC LIMIT 1</t>
  </si>
  <si>
    <t>db.airports.aggregate([{$sort:{x:-1}},{$limit:1},{$project:{name:1,city:1,country:1,_id:0}}])</t>
  </si>
  <si>
    <t>db.airports.aggregate([{$sort:{elevation:-1}},{$limit:1},{$project:{name:1,city:1,country:1,_id:0}}])</t>
  </si>
  <si>
    <t>query_field_mismatch</t>
  </si>
  <si>
    <t>SELECT first_name , last_name , hire_date FROM employees WHERE department_id = (SELECT department_id FROM employees WHERE first_name = 'Clara')</t>
  </si>
  <si>
    <t>SELECT e.FIRST_NAME, e.LAST_NAME, e.HIRE_DATE FROM employees e JOIN departments d ON e.DEPARTMENT_ID = d.DEPARTMENT_ID WHERE d.DEPARTMENT_NAME = 'Clara';</t>
  </si>
  <si>
    <t>db.jobs.aggregate([{$unwind:"$employees"},{$lookup:{from:"departments",localField:"employees.DEPARTMENT_ID",foreignField:"DEPARTMENT_ID",as:"Docs1"}},{$unwind:"$Docs1"},{$match:{"Docs1.DEPARTMENT_NAME":"Clara"}},{$project:{FIRST_NAME:"$employees.FIRST_NAME",LAST_NAME:"$employees.LAST_NAME",HIRE_DATE:"$employees.HIRE_DATE",_id:0}}])</t>
  </si>
  <si>
    <t>db.departments.aggregate([{$unwind:"$employees"},{$match:{"employees.FIRST_NAME":"Clara"}},{$lookup:{from:"departments",localField:"DEPARTMENT_ID",foreignField:"DEPARTMENT_ID",as:"Docs1"}},{$unwind:"$Docs1"},{$unwind:"$Docs1.employees"},{$project:{FIRST_NAME:"$Docs1.employees.FIRST_NAME",LAST_NAME:"$Docs1.employees.LAST_NAME",HIRE_DATE:"$Docs1.employees.HIRE_DATE",_id:0}}])</t>
  </si>
  <si>
    <t>SELECT StuID FROM Has_allergy GROUP BY StuID HAVING count(*) &gt;= 2</t>
  </si>
  <si>
    <t>SELECT T1.StuID FROM Has_allergy AS T1 GROUP BY T1.StuID HAVING COUNT(DISTINCT T1.Allergy) &gt;= 2</t>
  </si>
  <si>
    <t>db.Allergy_Type.aggregate([{$unwind:"$Has_Allergy"},{$group:{_id:"$Has_Allergy.StuID",__distinct_Allergy:{$addToSet:"$Has_Allergy.Allergy"}}},{$match:{$expr:{$gte:[{$size:"$__distinct_Allergy"},2]}}},{$project:{StuID:"$_id",_id:0}}])</t>
  </si>
  <si>
    <t>db.Student.aggregate([{$unwind:"$Has_Allergy"},{$group:{_id:"$StuID",count:{$sum:1}}},{$match:{count:{$gte:2}}},{$project:{StuID:"$_id",_id:0}}])</t>
  </si>
  <si>
    <t>same_shape_fields_wrong_values</t>
  </si>
  <si>
    <t>SELECT min(Crime_rate) , max(Crime_rate) FROM county_public_safety</t>
  </si>
  <si>
    <t>SELECT County_ID, Name, MIN(Crime_rate) AS Least_Severe_Crime_Rate, MAX(Crime_rate) AS Most_Severe_Crime_Rate FROM county_public_safety GROUP BY County_ID, Name;</t>
  </si>
  <si>
    <t>db.county_public_safety.aggregate([{$group:{_id:{County_ID:"$County_ID",Name:"$Name"},Least_Severe_Crime_Rate:{$min:"$Crime_rate"},Most_Severe_Crime_Rate:{$max:"$Crime_rate"}}},{$project:{County_ID:"$_id.County_ID",Name:"$_id.Name",Least_Severe_Crime_Rate:1,Most_Severe_Crime_Rate:1,_id:0}}])</t>
  </si>
  <si>
    <t>db.county_public_safety.aggregate([{$group:{_id:null,min_Crime_rate:{$min:"$Crime_rate"},max_Crime_rate:{$max:"$Crime_rate"}}},{$project:{_id:0,min_Crime_rate:1,max_Crime_rate:1}}])</t>
  </si>
  <si>
    <t>SELECT count(*) FROM customers GROUP BY customer_type_code ORDER BY count(*) DESC LIMIT 1</t>
  </si>
  <si>
    <t>SELECT SUM(count) FROM (SELECT count(*) as count FROM Customers GROUP BY customer_type_code ORDER BY count DESC LIMIT 1) as highest_count;</t>
  </si>
  <si>
    <t>db.Customers.aggregate([{$group:{_id:"$customer_type_code",count:{$sum:1}}},{$sort:{count:-1}},{$limit:1},{$project:{count:1,_id:0}},{$group:{_id:null,sum_count:{$sum:"$count"}}},{$project:{_id:0,sum_count:1}}])</t>
  </si>
  <si>
    <t>db.Customers.aggregate([{$group:{_id:"$customer_type_code",count:{$sum:1}}},{$sort:{count:-1}},{$limit:1},{$project:{count:1,_id:0}}])</t>
  </si>
  <si>
    <t>How many customers are categorized under the customer type with the greatest number of individuals?</t>
  </si>
  <si>
    <t>SELECT customer_type_code, COUNT(*) FROM Customers GROUP BY customer_type_code ORDER BY COUNT(*) DESC LIMIT 1;</t>
  </si>
  <si>
    <t>db.Customers.aggregate([{$group:{_id:"$customer_type_code",count:{$sum:1}}},{$sort:{count:-1}},{$limit:1},{$project:{customer_type_code:"$_id",count:1,_id:0}}])</t>
  </si>
  <si>
    <t>db.editor.aggregate([{$group:{_id:"$Age",count:{$sum:1}}},{$sort:{count:-1}},{$limit:1},{$project:{Age:"$_id",_id:0}}])</t>
  </si>
  <si>
    <t>What is the age that appears most frequently among editors?</t>
  </si>
  <si>
    <t>SELECT Age FROM editor GROUP BY Age ORDER BY count(*) DESC LIMIT 1</t>
  </si>
  <si>
    <t>Can you tell me the age that most editors have in common?</t>
  </si>
  <si>
    <t>Identify the age of editors that is reported the most often.</t>
  </si>
  <si>
    <t>What is the predominant age of editors in the dataset?</t>
  </si>
  <si>
    <t>SELECT AVG(Age) AS Predominant_Age FROM editor</t>
  </si>
  <si>
    <t>db.editor.aggregate([{$group:{_id:null,Predominant_Age:{$avg:"$Age"}}},{$project:{_id:0,Predominant_Age:1}}])</t>
  </si>
  <si>
    <t>SELECT date_of_latest_logon FROM Students WHERE family_name = 'Jaskolski' OR family_name = 'Langosh'</t>
  </si>
  <si>
    <t>SELECT MAX(date_of_latest_logon) FROM Students WHERE family_name = 'Jaskolski' OR family_name = 'Langosh'</t>
  </si>
  <si>
    <t>db.Students.aggregate([{$match:{$or:[{family_name:"Jaskolski"},{family_name:"Langosh"}]}},{$group:{_id:null,max_date_of_latest_logon:{$max:"$date_of_latest_logon"}}},{$project:{_id:0,max_date_of_latest_logon:1}}])</t>
  </si>
  <si>
    <t>db.Students.aggregate([{$match:{$or:[{family_name:"Jaskolski"},{family_name:"Langosh"}]}},{$project:{date_of_latest_logon:1,_id:0}}])</t>
  </si>
  <si>
    <t>SELECT T1.statement_id , T2.statement_details FROM Accounts AS T1 JOIN Statements AS T2 ON T1.statement_id = T2.statement_id GROUP BY T1.statement_id ORDER BY count(*) DESC LIMIT 1</t>
  </si>
  <si>
    <t>db.Projects.aggregate([{$unwind:"$Documents"},{$unwind:"$Documents.Statements"},{$group:{_id:{statement_id:"$Documents.Statements.Statement_ID",statement_details:"$Documents.Statements.Statement_Details"},count_accounts:{$sum:{$size:"$Documents.Statements.Accounts"}}}},{$sort:{count_accounts:-1}},{$limit:1},{$project:{Statement_ID:"$_id.statement_id",Statement_Details:"$_id.statement_details",_id:0}}])</t>
  </si>
  <si>
    <t>What is the statement ID and detail of the statement with the greatest number of accounts linked to it?</t>
  </si>
  <si>
    <t>SELECT T1.Statement_ID, T2.Statement_Details FROM Statements AS T1 JOIN Accounts AS T2 ON T1.Statement_ID = T2.Statement_ID GROUP BY T1.Statement_ID ORDER BY COUNT(*) DESC LIMIT 1</t>
  </si>
  <si>
    <t>db.Ref_Document_Types.aggregate([{$unwind:"$Documents"},{$unwind:"$Documents.Statements"},{$unwind:"$Documents.Statements.Accounts"},{$group:{_id:"$Documents.Statements.Statement_ID",count:{$sum:1},Statement_Details:{$min:"$Documents.Statements.Accounts.Statement_Details"}}},{$sort:{count:-1}},{$limit:1},{$project:{Statement_ID:"$_id",Statement_Details:1,_id:0}}])</t>
  </si>
  <si>
    <t>SELECT DISTINCT directed_by FROM film</t>
  </si>
  <si>
    <t>SELECT Directed_by FROM film;</t>
  </si>
  <si>
    <t>db.film.find({},{Directed_by:1,_id:0})</t>
  </si>
  <si>
    <t>db.film.aggregate([{$group:{_id:"$Directed_by"}},{$project:{Directed_by:"$_id",_id:0}}])</t>
  </si>
  <si>
    <t>Who are all the directors?</t>
  </si>
  <si>
    <t>Who are the directors of the films?</t>
  </si>
  <si>
    <t>SELECT directed_by FROM film</t>
  </si>
  <si>
    <t>SELECT Country FROM mountain WHERE Height &gt; 5000</t>
  </si>
  <si>
    <t>SELECT DISTINCT Country FROM mountain WHERE Height &gt; 5000</t>
  </si>
  <si>
    <t>db.mountain.distinct("Country",{Height:{$gt:5000}})</t>
  </si>
  <si>
    <t>db.mountain.aggregate([{$match:{Height:{$gt:5000}}},{$project:{Country:1,_id:0}}])</t>
  </si>
  <si>
    <t>Identify the countries that contain mountains taller than 5000 meters.</t>
  </si>
  <si>
    <t>SELECT t1.last_name FROM staff AS t1 JOIN complaints AS t2 ON t1.staff_id = t2.staff_id JOIN products AS t3 ON t2.product_id = t3.product_id ORDER BY t3.product_price LIMIT 1</t>
  </si>
  <si>
    <t>SELECT t1.last_name FROM Staff AS t1 JOIN Complaints AS t2 ON t1.staff_id = t2.staff_id JOIN Products AS t3 ON t2.product_id = t3.product_id WHERE t3.product_price = (SELECT MIN(product_price) FROM Products)</t>
  </si>
  <si>
    <t>db.Staff.aggregate([{$unwind:"$Complaints"},{$lookup:{from:"Products",localField:"Complaints.product_id",foreignField:"product_id",as:"Docs1"}},{$unwind:"$Docs1"},{$lookup:{from:"Products",pipeline:[{$group:{_id:null,col1:{$min:"$product_price"}}},{$project:{_id:0,col1:1}},{$limit:1}],as:"scalar_subq"}},{$unwind:{path:"$scalar_subq",preserveNullAndEmptyArrays:false}},{$match:{$expr:{$eq:["$product_price","$scalar_subq.col1"]}}},{$project:{scalar_subq:0}},{$project:{last_name:1,_id:0}}])</t>
  </si>
  <si>
    <t>db.Products.aggregate([{$sort:{product_price:1}},{$limit:1},{$lookup:{from:"Staff",localField:"Complaints.staff_id",foreignField:"staff_id",as:"Docs1"}},{$project:{last_name:{$arrayElemAt:["$Docs1.last_name",0]},_id:0}}])</t>
  </si>
  <si>
    <t>SELECT advisor , count(*) FROM Student GROUP BY advisor</t>
  </si>
  <si>
    <t>SELECT T1.Fname, T1.LName, COUNT(T2.StuID) AS Total_Students FROM Student AS T1 JOIN Student AS T2 ON T1.Advisor = T2.Advisor GROUP BY T1.Advisor, T1.Fname, T1.LName</t>
  </si>
  <si>
    <t>db.Student.aggregate([{$lookup:{from:"Student",localField:"Advisor",foreignField:"Advisor",as:"Docs1"}},{$unwind:"$Docs1"},{$group:{_id:{Docs1_Advisor:"$Docs1.Advisor",Docs1_Fname:"$Docs1.Fname",Docs1_LName:"$Docs1.LName"},count:{$sum:{$cond:[{$gt:["$Docs1.StuID",null]},1,0]}}}},{$project:{Fname:"$_id.Docs1_Fname",LName:"$_id.Docs1_LName",count:1,_id:0}}])</t>
  </si>
  <si>
    <t>db.Student.aggregate([{$group:{_id:"$Advisor",count:{$sum:1}}},{$project:{Advisor:"$_id",count:1,_id:0}}])</t>
  </si>
  <si>
    <t>SELECT T1.County FROM APPELLATIONS AS T1 JOIN WINE AS T2 ON T1.Appelation = T2.Appelation GROUP BY T2.Appelation HAVING count(*) &lt;= 3</t>
  </si>
  <si>
    <t>SELECT County FROM appellations WHERE Appelation IN (SELECT Appelation FROM wine GROUP BY Appelation HAVING count(DISTINCT Grape) &lt;= 3)</t>
  </si>
  <si>
    <t>db.appellations.aggregate([{$lookup:{from:"appellations",as:"subquery_results",let:{local_field:"$Appelation"},pipeline:[{$unwind:"$wine"},{$group:{_id:"$wine.Appelation",__distinct_Grape:{$addToSet:"$wine.Grape"}}},{$match:{$expr:{$lte:[{$size:"$__distinct_Grape"},3]}}},{$project:{Appelation:"$_id",_id:0}},{$match:{$expr:{$eq:["$Appelation","$$local_field"]}}},{$limit:1}]}},{$match:{subquery_results:{$ne:[]}}},{$project:{subquery_results:0}},{$project:{County:1,_id:0}}])</t>
  </si>
  <si>
    <t>db.appellations.aggregate([{$project:{County:1,count_wine:{$size:"$wine"}}},{$match:{count_wine:{$lte:3}}},{$project:{County:1,_id:0}}])</t>
  </si>
  <si>
    <t>SELECT sum(enrollment) , min(enrollment) FROM university</t>
  </si>
  <si>
    <t>SELECT sum(Enrollment) as Total_Enrollment, min(Enrollment) as Min_Enrollment FROM university</t>
  </si>
  <si>
    <t>db.university.aggregate([{$group:{_id:null,Total_Enrollment:{$sum:"$Enrollment"},Min_Enrollment:{$min:"$Enrollment"}}},{$project:{_id:0,Total_Enrollment:1,Min_Enrollment:1}}])</t>
  </si>
  <si>
    <t>db.university.aggregate([{$group:{_id:null,sum_enrollment:{$sum:"$Enrollment"},min_enrollment:{$min:"$Enrollment"}}},{$project:{_id:0,sum_enrollment:1,min_enrollment:1}}])</t>
  </si>
  <si>
    <t>What are the total and minimum enrollment numbers for every school in the database?</t>
  </si>
  <si>
    <t>SELECT School, sum(Enrollment) as Total_Enrollment, min(Enrollment) as Min_Enrollment FROM university GROUP BY School</t>
  </si>
  <si>
    <t>db.university.aggregate([{$group:{_id:"$School",Total_Enrollment:{$sum:"$Enrollment"},Min_Enrollment:{$min:"$Enrollment"}}},{$project:{School:"$_id",Total_Enrollment:1,Min_Enrollment:1,_id:0}}])</t>
  </si>
  <si>
    <t>SELECT avg(T1.sales) FROM journal AS T1 JOIN journal_committee AS T2 ON T1.journal_ID = T2.journal_ID WHERE T2.work_type = 'Photo'</t>
  </si>
  <si>
    <t>SELECT avg(Sales) FROM journal WHERE Journal_ID IN (SELECT Journal_ID FROM journal_committee WHERE Editor_ID IN (SELECT Editor_ID FROM editor WHERE Editor_ID IN (SELECT Editor_ID FROM journal_committee WHERE Work_Type = 'Photo')))</t>
  </si>
  <si>
    <t>db.journal.aggregate([{$lookup:{from:"editor",as:"subquery_results",let:{local_field:"$Journal_ID"},pipeline:[{$unwind:"$journal_committee"},{$lookup:{from:"editor",as:"subquery_results",let:{local_field:"$journal_committee.Editor_ID"},pipeline:[{$lookup:{from:"editor",as:"subquery_results",let:{local_field:"$Editor_ID"},pipeline:[{$unwind:"$journal_committee"},{$match:{"journal_committee.Work_Type":"Photo"}},{$project:{"journal_committee.Editor_ID":1,_id:0}},{$match:{$expr:{$eq:["$journal_committee.Editor_ID","$$local_field"]}}},{$limit:1}]}},{$match:{subquery_results:{$ne:[]}}},{$project:{subquery_results:0}},{$project:{Editor_ID:1,_id:0}},{$match:{$expr:{$eq:["$Editor_ID","$$local_field"]}}},{$limit:1}]}},{$match:{subquery_results:{$ne:[]}}},{$project:{subquery_results:0}},{$project:{"journal_committee.Journal_ID":1,_id:0}},{$match:{$expr:{$eq:["$journal_committee.Journal_ID","$$local_field"]}}},{$limit:1}]}},{$match:{subquery_results:{$ne:[]}}},{$project:{subquery_results:0}},{$group:{_id:null,avg_Sales:{$avg:"$Sales"}}},{$project:{_id:0,avg_Sales:1}}])</t>
  </si>
  <si>
    <t>db.journal.aggregate([{$unwind:"$journal_committee"},{$match:{"journal_committee.Work_Type":"Photo"}},{$group:{_id:null,avg_Sales:{$avg:"$Sales"}}},{$project:{_id:0,avg_Sales:1}}])</t>
  </si>
  <si>
    <t>SELECT Range FROM mountain GROUP BY Range ORDER BY COUNT(*) DESC LIMIT 1</t>
  </si>
  <si>
    <t>SELECT Range, COUNT(*) AS Peak_Count FROM mountain GROUP BY Range ORDER BY Peak_Count DESC LIMIT 1</t>
  </si>
  <si>
    <t>db.mountain.aggregate([{$group:{_id:"$Range",count:{$sum:1}}},{$sort:{count:-1}},{$limit:1},{$project:{Range:"$_id",count:1,_id:0}}])</t>
  </si>
  <si>
    <t>db.mountain.aggregate([{$group:{_id:"$Range",count:{$sum:1}}},{$sort:{count:-1}},{$limit:1},{$project:{Range:"$_id",_id:0}}])</t>
  </si>
  <si>
    <t>SELECT name , CLASS FROM ship WHERE ship_id NOT IN (SELECT ship_id FROM captain)</t>
  </si>
  <si>
    <t>SELECT Name, Type FROM Ship WHERE Ship_ID NOT IN (SELECT Ship_ID FROM Captain)</t>
  </si>
  <si>
    <t>db.Ship.aggregate([{$lookup:{from:"Ship",as:"subquery_results",let:{local_field:"$Ship_ID"},pipeline:[{$unwind:"$captain"},{$project:{"captain.Ship_ID":1,_id:0}},{$match:{$expr:{$eq:["$captain.Ship_ID","$$local_field"]}}},{$limit:1}]}},{$match:{subquery_results:{$eq:[]}}},{$project:{subquery_results:0}},{$project:{Name:1,Type:1,_id:0}}])</t>
  </si>
  <si>
    <t>db.Ship.find({$or:[{captain:{$exists:false}},{captain:{$size:0}}]},{Name:1,Class:1,_id:0})</t>
  </si>
  <si>
    <t>SELECT DISTINCT T1.Grape FROM GRAPES AS T1 JOIN WINE AS T2 ON T1.Grape = T2.Grape WHERE T1.Color = 'White' AND T2.score &gt; 90</t>
  </si>
  <si>
    <t>SELECT T1.Grape FROM grapes AS T1 JOIN wine AS T2 ON T1.Grape = T2.Grape WHERE T2.Score &gt; 90 AND T1.Color = 'White'</t>
  </si>
  <si>
    <t>db.grapes.aggregate([{$match:{Color:"White"}},{$lookup:{from:"appellations",let:{local_field:"$Grape"},pipeline:[{$unwind:"$wine"},{$match:{$expr:{$eq:["$wine.Grape","$$local_field"]}}},{$project:{County:"$County",Area:"$Area",isAVA:"$isAVA",No:"$wine.No",Grape:"$wine.Grape",Winery:"$wine.Winery",Appelation:"$wine.Appelation",State:"$wine.State",Name:"$wine.Name",Year:"$wine.Year",Price:"$wine.Price",Score:"$wine.Score",Cases:"$wine.Cases",Drink:"$wine.Drink",_id:0}}],as:"Docs1"}},{$unwind:"$Docs1"},{$match:{"Docs1.Score":{$gt:90}}},{$project:{Grape:1,_id:0}}])</t>
  </si>
  <si>
    <t>db.grapes.aggregate([{$match:{Color:"White"}},{$unwind:"$wine"},{$match:{"wine.Score":{$gt:90}}},{$group:{_id:"$Grape",Grape:{$first:"$Grape"}}},{$project:{_id:0,Grape:1}}])</t>
  </si>
  <si>
    <t>What white grape cultivars are used to create wines rated higher than 90?</t>
  </si>
  <si>
    <t>SELECT T1.Grape FROM GRAPES AS T1 JOIN WINE AS T2 ON T1.Grape = T2.Grape WHERE T1.Color = 'White' AND T2.Score &gt; 90</t>
  </si>
  <si>
    <t>SELECT first_name , last_name FROM employees WHERE salary &gt; (SELECT salary FROM employees WHERE employee_id = 163 )</t>
  </si>
  <si>
    <t>SELECT CONCAT(FIRST_NAME, ' ', LAST_NAME) AS full_name FROM employees WHERE SALARY &gt; (SELECT SALARY FROM employees WHERE EMPLOYEE_ID = 163)</t>
  </si>
  <si>
    <t>db.jobs.aggregate([{$unwind:"$employees"},{$lookup:{from:"jobs",pipeline:[{$unwind:"$employees"},{$match:{"employees.EMPLOYEE_ID":163}},{$project:{"employees.SALARY":1,_id:0}},{$limit:1}],as:"scalar_subq"}},{$unwind:{path:"$scalar_subq",preserveNullAndEmptyArrays:false}},{$match:{$expr:{$gt:["$employees.SALARY","$scalar_subq.employees.SALARY"]}}},{$project:{scalar_subq:0}},{$project:{full_name:{$concat:["$employees.FIRST_NAME"," ","$employees.LAST_NAME"]},_id:0}}])</t>
  </si>
  <si>
    <t>db.jobs.aggregate([{$unwind:"$employees"},{$match:{"employees.EMPLOYEE_ID":163}},{$project:{_id:0,salary:"$employees.SALARY"}},{$lookup:{from:"jobs",let:{salary:"$salary"},pipeline:[{$unwind:"$employees"},{$match:{$expr:{$gt:["$employees.SALARY","$$salary"]}}},{$project:{_id:0,FIRST_NAME:"$employees.FIRST_NAME",LAST_NAME:"$employees.LAST_NAME"}}],as:"Docs1"}},{$unwind:"$Docs1"},{$project:{FIRST_NAME:"$Docs1.FIRST_NAME",LAST_NAME:"$Docs1.LAST_NAME"}}])</t>
  </si>
  <si>
    <t>Which employees have a higher salary than the employee with ID 163? Please provide their full names.</t>
  </si>
  <si>
    <t>SELECT CONCAT(FIRST_NAME, ' ', LAST_NAME) AS Employee_Name FROM employees WHERE SALARY &gt; (SELECT SALARY FROM employees WHERE EMPLOYEE_ID = 163)</t>
  </si>
  <si>
    <t>db.jobs.aggregate([{$unwind:"$employees"},{$lookup:{from:"jobs",pipeline:[{$unwind:"$employees"},{$match:{"employees.EMPLOYEE_ID":163}},{$project:{"employees.SALARY":1,_id:0}},{$limit:1}],as:"scalar_subq"}},{$unwind:{path:"$scalar_subq",preserveNullAndEmptyArrays:false}},{$match:{$expr:{$gt:["$employees.SALARY","$scalar_subq.employees.SALARY"]}}},{$project:{scalar_subq:0}},{$project:{Employee_Name:{$concat:["$employees.FIRST_NAME"," ","$employees.LAST_NAME"]},_id:0}}])</t>
  </si>
  <si>
    <t>SELECT Team FROM player ORDER BY Team ASC</t>
  </si>
  <si>
    <t>SELECT Player, Team FROM player ORDER BY Team ASC</t>
  </si>
  <si>
    <t>db.school.aggregate([{$unwind:"$player"},{$project:{Player:"$player.Player",Team:"$player.Team",_id:0}},{$sort:{Team:1}}])</t>
  </si>
  <si>
    <t>db.school.aggregate([{$unwind:"$player"},{$project:{_id:0,Team:"$player.Team"}},{$sort:{Team:1}}])</t>
  </si>
  <si>
    <t>db.mountain.aggregate([{$sort:{Height:-1}},{$limit:1},{$project:{Name:1,_id:0}}])</t>
  </si>
  <si>
    <t>Return the name of the mountain with the greatest height.</t>
  </si>
  <si>
    <t>What is the name of the mountain that has the tallest height?</t>
  </si>
  <si>
    <t>Please provide the name of the mountain with the highest elevation.</t>
  </si>
  <si>
    <t>Identify the mountain known for having the greatest height.</t>
  </si>
  <si>
    <t>SELECT T1.Color FROM GRAPES AS T1 JOIN WINE AS T2 ON T1.Grape = T2.Grape GROUP BY T2.Grape ORDER BY AVG(Price) DESC LIMIT 1</t>
  </si>
  <si>
    <t>SELECT Color FROM grapes WHERE Grape IN ( SELECT Grape FROM wine GROUP BY Grape HAVING AVG(Price) = ( SELECT MAX(avg_price) FROM ( SELECT AVG(Price) as avg_price FROM wine GROUP BY Grape ) ) )</t>
  </si>
  <si>
    <t>db.grapes.aggregate([{$lookup:{from:"appellations",as:"subquery_results",let:{local_field:"$Grape"},pipeline:[{$unwind:"$wine"},{$lookup:{from:"appellations",pipeline:[{$unwind:"$wine"},{$unwind:"$wine"},{$group:{_id:"$wine.Grape",avg_price:{$avg:"$wine.Price"}}},{$project:{avg_price:1,_id:0}},{$group:{_id:null,col1:{$max:"$avg_price"}}},{$project:{_id:0,col1:1}},{$limit:1}],as:"scalar_subq"}},{$unwind:{path:"$scalar_subq",preserveNullAndEmptyArrays:false}},{$match:{$expr:{$eq:["$AVG(wine.\"Price\")","$scalar_subq.col1"]}}},{$project:{scalar_subq:0}},{$group:{_id:"$wine.Grape","AVG(Price)":{$avg:"$wine.Price"}}},{$match:{}},{$project:{Grape:"$_id",_id:0}},{$match:{$expr:{$eq:["$Grape","$$local_field"]}}},{$limit:1}]}},{$match:{subquery_results:{$ne:[]}}},{$project:{subquery_results:0}},{$project:{Color:1,_id:0}}])</t>
  </si>
  <si>
    <t>db.grapes.aggregate([{$unwind:"$wine"},{$group:{_id:{grape:"$Grape",color:"$Color"},avg_price:{$avg:"$wine.Price"}}},{$sort:{avg_price:-1}},{$limit:1},{$project:{_id:0,Color:"$_id.color"}}])</t>
  </si>
  <si>
    <t>SELECT t1.last_name FROM Staff AS t1 JOIN Complaints AS t2 ON t1.staff_id = t2.staff_id ORDER BY t2.date_complaint_raised LIMIT 1</t>
  </si>
  <si>
    <t>db.Staff.aggregate([{$unwind:"$Complaints"},{$sort:{"Complaints.date_complaint_raised":1}},{$limit:1},{$project:{last_name:1,_id:0}}])</t>
  </si>
  <si>
    <t>Return the last name of the staff member who handled the complaint with the earliest date raised.</t>
  </si>
  <si>
    <t>Who is the staff member that dealt with the very first customer complaint, and what is their last name?</t>
  </si>
  <si>
    <t>SELECT T1.last_name FROM Staff AS T1 JOIN Complaints AS T2 ON T1.staff_id = T2.staff_id ORDER BY T2.date_complaint_raised LIMIT 1</t>
  </si>
  <si>
    <t>Can you provide the last name of the staff who was in charge of the earliest raised complaint?</t>
  </si>
  <si>
    <t>SELECT T1.last_name FROM Staff AS T1 JOIN Complaints AS T2 ON T1.staff_id = T2.staff_id ORDER BY T2.date_complaint_raised ASC LIMIT 1</t>
  </si>
  <si>
    <t>Identify the last name of the staff member who addressed the complaint that was filed first.</t>
  </si>
  <si>
    <t>SELECT t1.last_name FROM staff AS t1 JOIN complaints AS t2 ON t1.staff_id = t2.staff_id ORDER BY t2.date_complaint_raised ASC LIMIT 1</t>
  </si>
  <si>
    <t>SELECT LOCATION FROM cinema WHERE capacity &gt; 300 GROUP BY LOCATION HAVING count(*) &gt; 1</t>
  </si>
  <si>
    <t>SELECT Location FROM cinema WHERE Capacity &gt; 300 AND Location IN (SELECT Location FROM cinema GROUP BY Location HAVING COUNT(*) &gt; 1)</t>
  </si>
  <si>
    <t>db.cinema.aggregate([{$match:{Capacity:{$gt:300}}},{$lookup:{from:"cinema",as:"subquery_results",let:{local_field:"$Location"},pipeline:[{$group:{_id:"$Location",count:{$sum:1}}},{$match:{count:{$gt:1}}},{$project:{Location:"$_id",_id:0}},{$match:{$expr:{$eq:["$Location","$$local_field"]}}},{$limit:1}]}},{$match:{subquery_results:{$ne:[]}}},{$project:{subquery_results:0}},{$project:{Location:1,_id:0}}])</t>
  </si>
  <si>
    <t>db.cinema.aggregate([{$match:{Capacity:{$gt:300}}},{$group:{_id:"$Location",count:{$sum:1}}},{$match:{count:{$gt:1}}},{$project:{Location:"$_id",_id:0}}])</t>
  </si>
  <si>
    <t>SELECT count(*) FROM votes WHERE state = 'NY' OR state = 'CA'</t>
  </si>
  <si>
    <t>SELECT contestant_name, COUNT(*) AS vote_tally FROM VOTES JOIN CONTESTANTS ON VOTES.contestant_number = CONTESTANTS.contestant_number JOIN AREA_CODE_STATE ON VOTES.state = AREA_CODE_STATE.state WHERE AREA_CODE_STATE.state IN ('NY', 'CA') GROUP BY contestant_name;</t>
  </si>
  <si>
    <t>db.CONTESTANTS.aggregate([{$unwind:"$VOTES"},{$match:{state:{$in:["NY","CA"]}}},{$lookup:{from:"AREA_CODE_STATE",localField:"VOTES.state",foreignField:"state",as:"Docs1"}},{$unwind:"$Docs1"},{$group:{_id:"$contestant_name",count:{$sum:1}}},{$project:{contestant_name:"$_id",count:1,_id:0}}])</t>
  </si>
  <si>
    <t>db.CONTESTANTS.aggregate([{$unwind:"$VOTES"},{$match:{"VOTES.state":{$in:["NY","CA"]}}},{$count:"count"}])</t>
  </si>
  <si>
    <t>SELECT "rank" FROM captain WHERE CLASS = 'Cutter' INTERSECT SELECT "rank" FROM captain WHERE CLASS = 'Armed schooner'</t>
  </si>
  <si>
    <t>SELECT T1.Rank FROM captain AS T1 JOIN Ship AS T2 ON T1.Ship_ID = T2.Ship_ID WHERE T2.Type = 'Cutter' INTERSECT SELECT T1.Rank FROM captain AS T1 JOIN Ship AS T2 ON T1.Ship_ID = T2.Ship_ID WHERE T2.Type = 'Armed schooner'</t>
  </si>
  <si>
    <t>db.Ship.aggregate([{$unwind:"$captain"},{$match:{$or:[{Type:"Cutter"},{Type:"Armed schooner"}]}},{$group:{_id:{Rank:"$captain.Rank"},__intersect_values:{$addToSet:"$Type"}}},{$match:{__intersect_values:{$all:["Cutter","Armed schooner"]}}},{$project:{_id:0,Rank:"$_id.Rank"}}])</t>
  </si>
  <si>
    <t>db.Ship.aggregate([{$unwind:"$captain"},{$match:{$or:[{"captain.Class":"Cutter"},{"captain.Class":"Armed schooner"}]}},{$group:{_id:"$captain.Rank",classes:{$addToSet:"$captain.Class"}}},{$match:{classes:{$all:["Cutter","Armed schooner"]}}},{$project:{Rank:"$_id",_id:0}}])</t>
  </si>
  <si>
    <t>Which captain ranks consist of individuals from the Cutter and Armed schooner classes?</t>
  </si>
  <si>
    <t>SELECT "Rank" FROM captain WHERE Class = 'Cutter' OR Class = 'Armed schooner'</t>
  </si>
  <si>
    <t>db.Ship.aggregate([{$unwind:"$captain"},{$match:{$or:[{"captain.Class":"Cutter"},{"captain.Class":"Armed schooner"}]}},{$project:{Rank:"$captain.Rank",_id:0}}])</t>
  </si>
  <si>
    <t>List the ranks of captains associated with both Cutter and Armed schooner ship types.</t>
  </si>
  <si>
    <t>SELECT DName FROM DEPARTMENT WHERE Division = 'AS' UNION SELECT DName FROM DEPARTMENT WHERE Division = 'EN' AND Building = 'NEB'</t>
  </si>
  <si>
    <t>SELECT DName FROM Department WHERE (Division = 'AS' OR Division = 'EN') AND Building = 'NEB'</t>
  </si>
  <si>
    <t>db.Department.find({Building:"NEB",$or:[{Division:"AS"},{Division:"EN"}]},{DName:1,_id:0})</t>
  </si>
  <si>
    <t>db.Department.find({$or:[{Division:"AS"},{$and:[{Division:"EN"},{Building:"NEB"}]}]},{DName:1,_id:0})</t>
  </si>
  <si>
    <t>Retrieve the names of departments that belong to either the AS division or the EN division located in the NEB building.</t>
  </si>
  <si>
    <t>SELECT min(market_value) , max(market_value) , avg(market_value) FROM company</t>
  </si>
  <si>
    <t>SELECT Company, min(Market_Value), max(Market_Value), avg(Market_Value) FROM company GROUP BY Company</t>
  </si>
  <si>
    <t>db.company.aggregate([{$group:{_id:"$Company",min_Market_Value:{$min:"$Market_Value"},max_Market_Value:{$max:"$Market_Value"},avg_Market_Value:{$avg:"$Market_Value"}}},{$project:{Company:"$_id",min_Market_Value:1,max_Market_Value:1,avg_Market_Value:1,_id:0}}])</t>
  </si>
  <si>
    <t>db.company.aggregate([{$group:{_id:null,min_market_value:{$min:"$Market_Value"},max_market_value:{$max:"$Market_Value"},avg_market_value:{$avg:"$Market_Value"}}},{$project:{_id:0,min_market_value:1,max_market_value:1,avg_market_value:1}}])</t>
  </si>
  <si>
    <t>Can you show the minimum, maximum, and overall average market value for each company?</t>
  </si>
  <si>
    <t>SELECT CName FROM COURSE WHERE Days = 'MTW'</t>
  </si>
  <si>
    <t>SELECT CName FROM Course WHERE Days IN ('Mon', 'Tue', 'Wed');</t>
  </si>
  <si>
    <t>db.Faculty.aggregate([{$unwind:"$Course"},{$match:{"Course.Days":{$in:["Mon","Tue","Wed"]}}},{$project:{CName:"$Course.CName",_id:0}}])</t>
  </si>
  <si>
    <t>db.Department.aggregate([{$unwind:"$Course"},{$match:{"Course.Days":"MTW"}},{$project:{_id:0,CName:"$Course.CName"}}])</t>
  </si>
  <si>
    <t>Which courses are offered on the days of Monday, Tuesday, and Wednesday?</t>
  </si>
  <si>
    <t>SELECT CName FROM Course WHERE Days IN ('Mon', 'Tue', 'Wed')</t>
  </si>
  <si>
    <t>SELECT Starting_Year FROM technician WHERE Team = 'CLE' INTERSECT SELECT Starting_Year FROM technician WHERE Team = 'CWS'</t>
  </si>
  <si>
    <t>SELECT Starting_Year FROM technician WHERE Team = 'CLE' OR Team = 'CWS'</t>
  </si>
  <si>
    <t>db.technician.find({$or:[{Team:"CLE"},{Team:"CWS"}]},{Starting_Year:1,_id:0})</t>
  </si>
  <si>
    <t>db.technician.aggregate([{$match:{Team:{$in:["CLE","CWS"]}}},{$group:{_id:"$Starting_Year",teams:{$addToSet:"$Team"}}},{$match:{teams:{$all:["CLE","CWS"]}}},{$project:{Starting_Year:"$_id",_id:0}}])</t>
  </si>
  <si>
    <t>SELECT city FROM airports GROUP BY city HAVING count(*) &gt; 2 ORDER BY count(*)</t>
  </si>
  <si>
    <t>SELECT city, COUNT(*) AS num_airports FROM airports GROUP BY city HAVING COUNT(*) &gt; 2 ORDER BY num_airports DESC;</t>
  </si>
  <si>
    <t>db.airports.aggregate([{$group:{_id:"$city",count:{$sum:1}}},{$match:{count:{$gt:2}}},{$sort:{count:-1}},{$project:{city:"$_id",count:1,_id:0}}])</t>
  </si>
  <si>
    <t>db.airports.aggregate([{$group:{_id:"$city",count:{$sum:1}}},{$match:{count:{$gt:2}}},{$sort:{count:-1}},{$project:{city:"$_id",_id:0}}])</t>
  </si>
  <si>
    <t>Can you provide a list of cities that possess more than two airports, sorted by their airport counts?</t>
  </si>
  <si>
    <t>SELECT city, COUNT(*) AS airport_count FROM airports GROUP BY city HAVING COUNT(*) &gt; 2 ORDER BY airport_count;</t>
  </si>
  <si>
    <t>db.airports.aggregate([{$group:{_id:"$city",count:{$sum:1}}},{$match:{count:{$gt:2}}},{$sort:{count:1}},{$project:{city:"$_id",count:1,_id:0}}])</t>
  </si>
  <si>
    <t>Show me the cities that have more than two airports, ordered by the total number of airports.</t>
  </si>
  <si>
    <t>SELECT city, COUNT(*) AS total_airports FROM airports GROUP BY city HAVING COUNT(*) &gt; 2 ORDER BY total_airports;</t>
  </si>
  <si>
    <t>SELECT count(DISTINCT advisor) FROM Student</t>
  </si>
  <si>
    <t>SELECT count(*) FROM advisor</t>
  </si>
  <si>
    <t>db.advisor.aggregate([{$count:"count"}])</t>
  </si>
  <si>
    <t>db.Student.aggregate([{$group:{_id:"$Advisor"}},{$count:"count_DISTINCT_advisor"}])</t>
  </si>
  <si>
    <t>SELECT Crime_rate FROM county_public_safety ORDER BY Police_officers ASC</t>
  </si>
  <si>
    <t>SELECT Name, Crime_rate FROM county_public_safety ORDER BY Police_officers ASC</t>
  </si>
  <si>
    <t>db.county_public_safety.find({},{Name:1,Crime_rate:1,_id:0}).sort({Police_officers:1})</t>
  </si>
  <si>
    <t>db.county_public_safety.find({},{Crime_rate:1,_id:0}).sort({Police_officers:1})</t>
  </si>
  <si>
    <t>SELECT main_industry , count(*) FROM company GROUP BY main_industry ORDER BY sum(market_value) DESC LIMIT 1</t>
  </si>
  <si>
    <t>db.company.aggregate([{$group:{_id:"$Main_Industry",total_market_value:{$sum:"$Market_Value"},count:{$sum:1}}},{$sort:{total_market_value:-1}},{$limit:1},{$project:{Main_Industry:"$_id",count:1,_id:0}}])</t>
  </si>
  <si>
    <t>Which main industry has the highest market value and what is the total number of companies associated with it?</t>
  </si>
  <si>
    <t>SELECT Main_Industry, COUNT(Company_ID) AS Total_Companies FROM company GROUP BY Main_Industry ORDER BY Market_Value DESC LIMIT 1;</t>
  </si>
  <si>
    <t>SELECT T1.Name FROM actor AS T1 JOIN musical AS T2 ON T1.Musical_ID = T2.Musical_ID ORDER BY T2.Year DESC</t>
  </si>
  <si>
    <t>SELECT T2.Name FROM actor AS T1 JOIN musical AS T2 ON T1.Musical_ID = T2.Musical_ID ORDER BY T2.Year DESC</t>
  </si>
  <si>
    <t>db.actor.aggregate([{$lookup:{from:"musical",localField:"Musical_ID",foreignField:"Musical_ID",as:"Docs1"}},{$unwind:"$Docs1"},{$sort:{"Docs1.Year":-1}},{$project:{Name:"$Docs1.Name",_id:0}}])</t>
  </si>
  <si>
    <t>db.actor.aggregate([{$sort:{Musical_ID:-1}},{$project:{Name:1,_id:0}}])</t>
  </si>
  <si>
    <t>SELECT acc_percent FROM basketball_match ORDER BY acc_percent DESC LIMIT 1</t>
  </si>
  <si>
    <t>SELECT MAX(ACC_Percent) FROM basketball_match</t>
  </si>
  <si>
    <t>db.university.aggregate([{$unwind:"$basketball_match"},{$group:{_id:null,max_ACC_Percent:{$max:"$basketball_match.ACC_Percent"}}},{$project:{_id:0,max_ACC_Percent:1}}])</t>
  </si>
  <si>
    <t>db.university.aggregate([{$unwind:"$basketball_match"},{$group:{_id:null,highest_acc_percent:{$max:"$basketball_match.ACC_Percent"}}},{$project:{_id:0,ACC_Percent:"$highest_acc_percent"}}])</t>
  </si>
  <si>
    <t>What is the maximum accuracy percentage recorded in the basketball competition?</t>
  </si>
  <si>
    <t>Find the top ACC percentage among all the basketball games played.</t>
  </si>
  <si>
    <t>Retrieve the highest acc percent achieved in the entire basketball season.</t>
  </si>
  <si>
    <t>SELECT count(DISTINCT "rank") FROM captain</t>
  </si>
  <si>
    <t>SELECT "Rank", COUNT(*) FROM captain GROUP BY "Rank"</t>
  </si>
  <si>
    <t>db.Ship.aggregate([{$unwind:"$captain"},{$group:{_id:"$captain.Rank",count:{$sum:1}}},{$project:{Rank:"$_id",count:1,_id:0}}])</t>
  </si>
  <si>
    <t>db.Ship.aggregate([{$unwind:"$captain"},{$group:{_id:"$captain.Rank"}},{$count:"count_DISTINCT_rank"}])</t>
  </si>
  <si>
    <t>SELECT LOCATION FROM shop WHERE Open_Year &gt; 2012 INTERSECT SELECT LOCATION FROM shop WHERE Open_Year &lt; 2008</t>
  </si>
  <si>
    <t>SELECT Location FROM shop WHERE Open_Year &gt; 2012 UNION SELECT Location FROM shop WHERE Open_Year &lt; 2008</t>
  </si>
  <si>
    <t>db.shop.aggregate([{$match:{Open_Year:{$gt:2012}}},{$project:{Location:1,_id:0}},{$unionWith:{coll:"shop",pipeline:[{$match:{Open_Year:{$lt:2008}}},{$project:{Location:1,_id:0}}]}},{$group:{_id:{Location:"$Location"}}},{$project:{_id:0,Location:"$_id.Location"}}])</t>
  </si>
  <si>
    <t>db.shop.aggregate([{$match:{$or:[{Open_Year:{$gt:2012}},{Open_Year:{$lt:2008}}]}},{$group:{_id:"$Location",count:{$sum:1}}},{$match:{count:{$gt:1}}},{$project:{Location:"$_id",_id:0}}])</t>
  </si>
  <si>
    <t>extra_prediction_result</t>
  </si>
  <si>
    <t>SELECT city FROM airports WHERE country = 'United States' GROUP BY city HAVING count(*) &gt; 3</t>
  </si>
  <si>
    <t>SELECT city, COUNT(*) FROM airports WHERE country = 'US' GROUP BY city HAVING COUNT(*) &gt; 3;</t>
  </si>
  <si>
    <t>db.airports.aggregate([{$match:{country:"US"}},{$group:{_id:"$city",count:{$sum:1}}},{$match:{count:{$gt:3}}},{$project:{city:"$_id",count:1,_id:0}}])</t>
  </si>
  <si>
    <t>db.airports.aggregate([{$match:{country:"United States"}},{$group:{_id:"$city",airportCount:{$sum:1}}},{$match:{airportCount:{$gt:3}}},{$project:{city:"$_id",_id:0}}])</t>
  </si>
  <si>
    <t>How many cities in the United States feature more than three airports?</t>
  </si>
  <si>
    <t>SELECT COUNT(DISTINCT city) FROM airports WHERE country = 'United States' GROUP BY city HAVING COUNT(*) &gt; 3</t>
  </si>
  <si>
    <t>db.airports.aggregate([{$match:{country:"United States"}},{$group:{_id:"$city",count:{$sum:1},__distinct_city:{$addToSet:"$city"}}},{$match:{count:{$gt:3}}},{$project:{_id:1,count_distinct_city:{$size:"$__distinct_city"}}},{$project:{count:1,_id:0}}])</t>
  </si>
  <si>
    <t>SELECT DISTINCT Name FROM wine ORDER BY Price;</t>
  </si>
  <si>
    <t>db.appellations.aggregate([{$unwind:"$wine"},{$sort:{"wine.Price":1}},{$group:{_id:"$wine.Name"}},{$project:{Name:"$_id",_id:0}}])</t>
  </si>
  <si>
    <t>What are the names of wines, sorted by price ascending?</t>
  </si>
  <si>
    <t>SELECT Name FROM wine ORDER BY Price ASC</t>
  </si>
  <si>
    <t>db.appellations.aggregate([{$unwind:"$wine"},{$sort:{"wine.Price":1}},{$project:{Name:"$wine.Name",_id:0}}])</t>
  </si>
  <si>
    <t>Show the names of all unique wines arranged by their price in ascending order.</t>
  </si>
  <si>
    <t>SELECT DISTINCT Name FROM wine ORDER BY Price ASC</t>
  </si>
  <si>
    <t>Provide a list of wine names, sorted from the least expensive to the most expensive.</t>
  </si>
  <si>
    <t>SELECT Name FROM wine ORDER BY Price;</t>
  </si>
  <si>
    <t>Can you give me the distinct names of wines sorted by their prices in increasing order?</t>
  </si>
  <si>
    <t>SELECT major FROM Student GROUP BY major ORDER BY count(*) DESC LIMIT 1</t>
  </si>
  <si>
    <t>SELECT T3.Major FROM Student AS T1 JOIN Major AS T2 ON T1.Major = T2.MajorID GROUP BY T3.Major ORDER BY COUNT(*) DESC LIMIT 1</t>
  </si>
  <si>
    <t>db.Student.aggregate([{$lookup:{from:"Major",localField:"Major",foreignField:"MajorID",as:"Docs1"}},{$unwind:"$Docs1"},{$group:{_id:"$T3.Major",count:{$sum:1}}},{$sort:{count:-1}},{$limit:1},{$project:{Major:"$_id",_id:0}}])</t>
  </si>
  <si>
    <t>db.Student.aggregate([{$group:{_id:"$Major",totalStudents:{$sum:1}}},{$sort:{totalStudents:-1}},{$project:{Major:"$_id",_id:0}},{$limit:1}])</t>
  </si>
  <si>
    <t>SELECT Case_burden FROM county_public_safety ORDER BY Population DESC</t>
  </si>
  <si>
    <t>SELECT Name, Population, Case_burden FROM county_public_safety ORDER BY Population DESC</t>
  </si>
  <si>
    <t>db.county_public_safety.find({},{Name:1,Population:1,Case_burden:1,_id:0}).sort({Population:-1})</t>
  </si>
  <si>
    <t>db.county_public_safety.aggregate([{$sort:{Population:-1}},{$project:{Case_burden:1,_id:0}}])</t>
  </si>
  <si>
    <t>Display the case burdens of counties, emphasizing a descending order based on their population figures.</t>
  </si>
  <si>
    <t>SELECT Name, Case_burden, Population FROM county_public_safety ORDER BY Population DESC, Case_burden DESC</t>
  </si>
  <si>
    <t>db.county_public_safety.find({},{Name:1,Case_burden:1,Population:1,_id:0}).sort({Population:-1,Case_burden:-1})</t>
  </si>
  <si>
    <t>SELECT Major FROM STUDENT GROUP BY Major HAVING COUNT(*) &lt; 3</t>
  </si>
  <si>
    <t>SELECT Major, COUNT(*) AS Student_Count FROM Student GROUP BY Major HAVING COUNT(*) &lt; 3</t>
  </si>
  <si>
    <t>db.Student.aggregate([{$group:{_id:"$Major",count:{$sum:1}}},{$match:{count:{$lt:3}}},{$project:{Major:"$_id",count:1,_id:0}}])</t>
  </si>
  <si>
    <t>db.Student.aggregate([{$group:{_id:"$Major",count:{$sum:1}}},{$match:{count:{$lt:3}}},{$project:{Major:"$_id",_id:0}}])</t>
  </si>
  <si>
    <t>Show the majors where the number of students is below three.</t>
  </si>
  <si>
    <t>SELECT Major, COUNT(*) FROM Student GROUP BY Major HAVING COUNT(*) &lt; 3</t>
  </si>
  <si>
    <t>db.school.aggregate([{$unwind:"$player"},{$sort:{"player.Age":-1}},{$limit:5},{$project:{Team:"$player.Team",_id:0}}])</t>
  </si>
  <si>
    <t>What are the teams that have the 5 oldest players?</t>
  </si>
  <si>
    <t>Provide the names of the teams for the five players who are the oldest.</t>
  </si>
  <si>
    <t>Identify the teams that represent the five players with the highest ages.</t>
  </si>
  <si>
    <t>What teams do the top five oldest players belong to?</t>
  </si>
  <si>
    <t>SELECT T1.address_line_1 FROM Course_Authors_and_Tutors AS T1 JOIN Courses AS T2 ON T1.author_id = T2.author_id WHERE T2.course_name = 'operating system' OR T2.course_name = 'data structure'</t>
  </si>
  <si>
    <t>SELECT T1.address_line_1 FROM Course_Authors_and_Tutors AS T1 JOIN Courses AS T2 ON T1.author_id = T2.author_id JOIN Subjects AS T3 ON T2.subject_id = T3.subject_id WHERE T3.subject_name = 'operating system' OR T3.subject_name = 'data structure'</t>
  </si>
  <si>
    <t>db.Course_Authors_and_Tutors.aggregate([{$match:{$or:[{subject_name:"operating system"},{subject_name:"data structure"}]}},{$unwind:"$Courses"},{$lookup:{from:"Subjects",localField:"Courses.subject_id",foreignField:"subject_id",as:"Docs1"}},{$unwind:"$Docs1"},{$project:{address_line_1:1,_id:0}}])</t>
  </si>
  <si>
    <t>db.Course_Authors_and_Tutors.aggregate([{$unwind:"$Courses"},{$match:{$or:[{"Courses.course_name":"operating system"},{"Courses.course_name":"data structure"}]}},{$project:{address_line_1:1,_id:0}}])</t>
  </si>
  <si>
    <t>SELECT LOCATION FROM cinema EXCEPT SELECT LOCATION FROM cinema WHERE capacity &gt; 800</t>
  </si>
  <si>
    <t>SELECT LOCATION FROM cinema WHERE Cinema_ID NOT IN (SELECT Cinema_ID FROM cinema WHERE Capacity &gt; 800)</t>
  </si>
  <si>
    <t>db.cinema.aggregate([{$lookup:{from:"cinema",as:"subquery_results",let:{local_field:"$Cinema_ID"},pipeline:[{$match:{Capacity:{$gt:800}}},{$project:{Cinema_ID:1,_id:0}},{$match:{$expr:{$eq:["$Cinema_ID","$$local_field"]}}},{$limit:1}]}},{$match:{subquery_results:{$eq:[]}}},{$project:{subquery_results:0}},{$project:{Location:1,_id:0}}])</t>
  </si>
  <si>
    <t>db.cinema.aggregate([{$group:{_id:"$Location",max_Capacity:{$max:"$Capacity"}}},{$match:{max_Capacity:{$lte:800}}},{$project:{_id:0,Location:"$_id"}}])</t>
  </si>
  <si>
    <t>List all locations where no cinema has a capacity greater than 800.</t>
  </si>
  <si>
    <t>SELECT Location FROM cinema WHERE Capacity &lt;= 800</t>
  </si>
  <si>
    <t>db.cinema.find({Capacity:{$lte:800}},{Location:1,_id:0})</t>
  </si>
  <si>
    <t>Provide the names of locations that have only cinemas with a maximum capacity of 800 or less.</t>
  </si>
  <si>
    <t>SELECT Location FROM cinema WHERE Cinema_ID NOT IN (SELECT Cinema_ID FROM cinema WHERE Capacity &gt; 800)</t>
  </si>
  <si>
    <t>Identify all the locations where every cinema's capacity does not exceed 800.</t>
  </si>
  <si>
    <t>Display all the locations with cinemas that are capped at a maximum of 800 in capacity.</t>
  </si>
  <si>
    <t>SELECT product_description FROM products WHERE product_name = 'Chocolate'</t>
  </si>
  <si>
    <t>SELECT * FROM Products WHERE product_name = 'Chocolate'</t>
  </si>
  <si>
    <t>db.Products.find({product_name:"Chocolate"},{product_id:1,parent_product_id:1,product_category_code:1,date_product_first_available:1,date_product_discontinued:1,product_name:1,product_description:1,product_price:1,_id:0})</t>
  </si>
  <si>
    <t>db.Products.find({product_name:"Chocolate"},{product_description:1,_id:0})</t>
  </si>
  <si>
    <t>SELECT LName FROM Student WHERE Age = (SELECT MIN(Age) FROM Student)</t>
  </si>
  <si>
    <t>db.Student.aggregate([{$lookup:{from:"Student",pipeline:[{$group:{_id:null,col1:{$min:"$Age"}}},{$project:{_id:0,col1:1}},{$limit:1}],as:"scalar_subq"}},{$unwind:{path:"$scalar_subq",preserveNullAndEmptyArrays:false}},{$match:{$expr:{$eq:["$Age","$scalar_subq.col1"]}}},{$project:{scalar_subq:0}},{$project:{LName:1,_id:0}}])</t>
  </si>
  <si>
    <t>Provide the last name of the youngest student.</t>
  </si>
  <si>
    <t>Could you tell me the last name of the student who is the youngest?</t>
  </si>
  <si>
    <t>What is the surname of the youngest student enrolled?</t>
  </si>
  <si>
    <t>SELECT max(years_working) , min(years_working) , avg(years_working) FROM school_bus</t>
  </si>
  <si>
    <t>SELECT max(years_working) - min(years_working) AS range_years_working, avg(years_working) AS avg_years_working FROM school_bus</t>
  </si>
  <si>
    <t>db.driver.aggregate([{$unwind:"$school_bus"},{$group:{_id:null,"MAX(Years_Working)":{$max:"$school_bus.Years_Working"},"MIN(Years_Working)":{$min:"$school_bus.Years_Working"},avg_years_working:{$avg:"$school_bus.Years_Working"}}},{$project:{_id:0,range_years_working:{$subtract:["$MAX(school_bus.\"Years_Working\")","$MIN(school_bus.\"Years_Working\")"]},avg_years_working:1}}])</t>
  </si>
  <si>
    <t>db.driver.aggregate([{$unwind:"$school_bus"},{$group:{_id:null,max_years_working:{$max:"$school_bus.Years_Working"},min_years_working:{$min:"$school_bus.Years_Working"},avg_years_working:{$avg:"$school_bus.Years_Working"}}},{$project:{_id:0,max_years_working:1,min_years_working:1,avg_years_working:1}}])</t>
  </si>
  <si>
    <t>SELECT school , TYPE FROM school WHERE school_id NOT IN (SELECT school_id FROM school_bus)</t>
  </si>
  <si>
    <t>SELECT Name, Type FROM school WHERE School_ID NOT IN (SELECT School_ID FROM school_bus)</t>
  </si>
  <si>
    <t>db.school.aggregate([{$lookup:{from:"driver",as:"subquery_results",let:{local_field:"$School_ID"},pipeline:[{$unwind:"$school_bus"},{$project:{"school_bus.School_ID":1,_id:0}},{$match:{$expr:{$eq:["$school_bus.School_ID","$$local_field"]}}},{$limit:1}]}},{$match:{subquery_results:{$eq:[]}}},{$project:{subquery_results:0}},{$project:{Name:1,Type:1,_id:0}}])</t>
  </si>
  <si>
    <t>db.school.find({$or:[{school_bus:{$exists:false}},{school_bus:{$size:0}}]},{School:1,Type:1,_id:0})</t>
  </si>
  <si>
    <t>Display the names and types of schools that do not have a school bus assigned.</t>
  </si>
  <si>
    <t>SELECT t1.name FROM ship AS t1 JOIN captain AS t2 ON t1.ship_id = t2.ship_id WHERE t2.rank = 'Midshipman' INTERSECT SELECT t1.name FROM ship AS t1 JOIN captain AS t2 ON t1.ship_id = t2.ship_id WHERE t2.rank = 'Lieutenant'</t>
  </si>
  <si>
    <t>SELECT t2.Name FROM captain AS t1 JOIN Ship AS t2 ON t1.Ship_ID = t2.Ship_ID WHERE t1.Rank = 'Midshipman' OR t1.Rank = 'Lieutenant'</t>
  </si>
  <si>
    <t>db.Ship.aggregate([{$unwind:"$captain"},{$match:{$or:[{"captain.Rank":"Midshipman"},{"captain.Rank":"Lieutenant"}]}},{$project:{Name:"$Name",_id:0}}])</t>
  </si>
  <si>
    <t>db.Ship.aggregate([{$unwind:"$captain"},{$group:{_id:"$Name",midshipman_count:{$sum:{$cond:[{$eq:["$captain.Rank","Midshipman"]},1,0]}},lieutenant_count:{$sum:{$cond:[{$eq:["$captain.Rank","Lieutenant"]},1,0]}}}},{$match:{midshipman_count:{$gt:0},lieutenant_count:{$gt:0}}},{$project:{Name:"$_id",_id:0}}])</t>
  </si>
  <si>
    <t>SELECT DISTINCT Major FROM Student</t>
  </si>
  <si>
    <t>SELECT Major FROM Student</t>
  </si>
  <si>
    <t>db.Student.find({},{Major:1,_id:0})</t>
  </si>
  <si>
    <t>db.Student.aggregate([{$group:{_id:"$Major"}},{$project:{_id:0,Major:"$_id"}}])</t>
  </si>
  <si>
    <t>List all the available majors.</t>
  </si>
  <si>
    <t>SELECT Name FROM musical WHERE Nominee = 'Bob Fosse'</t>
  </si>
  <si>
    <t>SELECT T1.Name FROM musical AS T1 JOIN actor AS T2 ON T1.Musical_ID = T2.Musical_ID WHERE T2.Name = 'Bob Fosse'</t>
  </si>
  <si>
    <t>db.musical.aggregate([{$lookup:{from:"actor",localField:"Musical_ID",foreignField:"Musical_ID",as:"Docs1"}},{$unwind:"$Docs1"},{$match:{"Docs1.Name":"Bob Fosse"}},{$project:{Name:1,_id:0}}])</t>
  </si>
  <si>
    <t>db.musical.find({Nominee:"Bob Fosse"},{Name:1,_id:0})</t>
  </si>
  <si>
    <t>SELECT Police_force FROM county_public_safety WHERE LOCATION = 'East' INTERSECT SELECT Police_force FROM county_public_safety WHERE LOCATION = 'West'</t>
  </si>
  <si>
    <t>SELECT T1.Police_force FROM county_public_safety AS T1 JOIN city AS T2 ON T1.County_ID = T2.County_ID WHERE T2.Location IN ('East', 'West') GROUP BY T1.Police_force HAVING COUNT(DISTINCT T2.Location) = 2</t>
  </si>
  <si>
    <t>db.county_public_safety.aggregate([{$match:{Location:{$in:["East","West"]}}},{$unwind:"$city"},{$group:{_id:"$Police_force",__distinct_Location:{$addToSet:"$city.Location"}}},{$match:{$expr:{$eq:[{$size:"$__distinct_Location"},2]}}},{$project:{Police_force:"$_id",_id:0}}])</t>
  </si>
  <si>
    <t>db.county_public_safety.aggregate([{$match:{$or:[{Location:"East"},{Location:"West"}]}},{$group:{_id:"$Police_force",count:{$sum:1}}},{$match:{count:{$gt:1}}},{$project:{_id:0,Police_force:"$_id"}}])</t>
  </si>
  <si>
    <t>SELECT employee_id , first_name , last_name , job_id FROM employees WHERE salary &gt; ( SELECT max(salary) FROM employees WHERE job_id = 'PU_MAN' )</t>
  </si>
  <si>
    <t>SELECT employee_id, first_name, last_name, job_title FROM employees WHERE salary &gt; (SELECT MAX(salary) FROM employees WHERE job_title = 'PU_MAN')</t>
  </si>
  <si>
    <t>db.jobs.aggregate([{$unwind:"$employees"},{$lookup:{from:"jobs",pipeline:[{$match:{job_title:"PU_MAN"}},{$unwind:"$employees"},{$group:{_id:null,col1:{$max:"$employees.SALARY"}}},{$project:{_id:0,col1:1}},{$limit:1}],as:"scalar_subq"}},{$unwind:{path:"$scalar_subq",preserveNullAndEmptyArrays:false}},{$match:{$expr:{$gt:["$employees.SALARY","$scalar_subq.col1"]}}},{$project:{scalar_subq:0}},{$project:{EMPLOYEE_ID:"$employees.EMPLOYEE_ID",FIRST_NAME:"$employees.FIRST_NAME",LAST_NAME:"$employees.LAST_NAME",job_title:1,_id:0}}])</t>
  </si>
  <si>
    <t>db.jobs.aggregate([{$unwind:"$employees"},{$match:{"employees.JOB_ID":"PU_MAN"}},{$group:{_id:null,max_SALARY:{$max:"$employees.SALARY"}}},{$lookup:{from:"jobs",let:{max_SALARY:"$max_SALARY"},pipeline:[{$unwind:"$employees"},{$match:{$expr:{$gt:["$employees.SALARY","$$max_SALARY"]}}},{$project:{EMPLOYEE_ID:"$employees.EMPLOYEE_ID",FIRST_NAME:"$employees.FIRST_NAME",LAST_NAME:"$employees.LAST_NAME",JOB_ID:"$employees.JOB_ID",_id:0}}],as:"Docs1"}},{$unwind:"$Docs1"},{$replaceRoot:{newRoot:"$Docs1"}},{$project:{EMPLOYEE_ID:1,FIRST_NAME:1,LAST_NAME:1,JOB_ID:1,_id:0}}])</t>
  </si>
  <si>
    <t>List the employee IDs, names (both first and last), and job titles of employees whose salaries exceed that of any employee working as PU_MAN.</t>
  </si>
  <si>
    <t>SELECT employee_id, first_name, last_name, job_title FROM employees JOIN jobs ON employees.job_id = jobs.job_id WHERE salary &gt; (SELECT MAX(salary) FROM employees WHERE job_id = 'PU_MAN')</t>
  </si>
  <si>
    <t>db.jobs.aggregate([{$unwind:"$employees"},{$lookup:{from:"jobs",pipeline:[{$unwind:"$employees"},{$match:{"employees.JOB_ID":"PU_MAN"}},{$group:{_id:null,col1:{$max:"$employees.SALARY"}}},{$project:{_id:0,col1:1}},{$limit:1}],as:"scalar_subq"}},{$unwind:{path:"$scalar_subq",preserveNullAndEmptyArrays:false}},{$match:{$expr:{$gt:["$employees.SALARY","$scalar_subq.col1"]}}},{$project:{scalar_subq:0}},{$project:{EMPLOYEE_ID:"$employees.EMPLOYEE_ID",FIRST_NAME:"$employees.FIRST_NAME",LAST_NAME:"$employees.LAST_NAME",JOB_TITLE:1,_id:0}}])</t>
  </si>
  <si>
    <t>Show the details (employee ID, first and last name, job title) of employees who have a salary higher than any employee holding the PU_MAN job position.</t>
  </si>
  <si>
    <t>SELECT e.employee_id, e.first_name, e.last_name, j.job_title FROM employees e JOIN jobs j ON e.job_id = j.job_id WHERE e.salary &gt; (SELECT MAX(salary) FROM employees WHERE job_id = 'PU_MAN')</t>
  </si>
  <si>
    <t>SELECT min(age) , avg(age) , max(age) FROM Student</t>
  </si>
  <si>
    <t>SELECT min(age) as youngest_age, avg(age) as average_age, max(age) as oldest_age FROM student</t>
  </si>
  <si>
    <t>db.Student.aggregate([{$group:{_id:null,youngest_age:{$min:"$Age"},average_age:{$avg:"$Age"},oldest_age:{$max:"$Age"}}},{$project:{_id:0,youngest_age:1,average_age:1,oldest_age:1}}])</t>
  </si>
  <si>
    <t>db.Student.aggregate([{$group:{_id:null,min_age:{$min:"$Age"},avg_age:{$avg:"$Age"},max_age:{$max:"$Age"}}},{$project:{_id:0,min_age:1,avg_age:1,max_age:1}}])</t>
  </si>
  <si>
    <t>SELECT name FROM city WHERE county_id IN (SELECT county_id FROM county_public_safety WHERE Crime_rate &lt; 100)</t>
  </si>
  <si>
    <t>SELECT T2.Name FROM city AS T1 JOIN county_public_safety AS T2 ON T1.County_ID = T2.County_ID WHERE T2.Crime_rate &lt; 100</t>
  </si>
  <si>
    <t>db.county_public_safety.aggregate([{$match:{Crime_rate:{$lt:100}}},{$unwind:"$city"},{$project:{Name:"$Name",_id:0}}])</t>
  </si>
  <si>
    <t>db.county_public_safety.aggregate([{$match:{Crime_rate:{$lt:100}}},{$unwind:"$city"},{$project:{_id:0,Name:"$city.Name"}}])</t>
  </si>
  <si>
    <t>SELECT Fname , Lname FROM FACULTY WHERE sex = 'M' AND Building = 'NEB'</t>
  </si>
  <si>
    <t>SELECT T1.Fname, T1.Lname FROM Faculty AS T1 JOIN Member_of AS T2 ON T1.FacID = T2.FacID JOIN Department AS T3 ON T2.DNO = T3.DNO WHERE T1.Sex = 'M' AND T3.Building = 'NEB'</t>
  </si>
  <si>
    <t>db.Faculty.aggregate([{$match:{Sex:"M"}},{$lookup:{from:"Department",let:{local_field:"$FacID"},pipeline:[{$unwind:"$Member_of"},{$match:{$expr:{$eq:["$Member_of.FacID","$$local_field"]}}},{$project:{Division:"$Division",DName:"$DName",Room:"$Room",Building:"$Building",DPhone:"$DPhone",FacID:"$Member_of.FacID",DNO:"$Member_of.DNO",Appt_Type:"$Member_of.Appt_Type",_id:0}}],as:"Docs1"}},{$unwind:"$Docs1"},{$lookup:{from:"Department",localField:"Docs1.DNO",foreignField:"DNO",as:"Docs2"}},{$unwind:"$Docs2"},{$match:{"Docs2.Building":"NEB"}},{$project:{Fname:1,Lname:1,_id:0}}])</t>
  </si>
  <si>
    <t>db.Faculty.find({Sex:"M",Building:"NEB"},{Fname:1,Lname:1,_id:0})</t>
  </si>
  <si>
    <t>SELECT Advisor FROM STUDENT GROUP BY Advisor HAVING COUNT(*) &gt; 2</t>
  </si>
  <si>
    <t>SELECT T1.Fname, T1.LName FROM Student AS T1 JOIN Student AS T2 ON T1.Advisor = T2.Advisor GROUP BY T1.Advisor HAVING COUNT(*) &gt; 2</t>
  </si>
  <si>
    <t>db.Student.aggregate([{$lookup:{from:"Student",localField:"Advisor",foreignField:"Advisor",as:"Docs1"}},{$unwind:"$Docs1"},{$group:{_id:"$Docs1.Advisor",count:{$sum:1},Fname:{$min:"$Docs1.Fname"},LName:{$min:"$Docs1.LName"}}},{$match:{count:{$gt:2}}},{$project:{Fname:1,LName:1,_id:0}}])</t>
  </si>
  <si>
    <t>db.Student.aggregate([{$group:{_id:"$Advisor",total_students:{$sum:1}}},{$match:{total_students:{$gt:2}}},{$project:{Advisor:"$_id",_id:0}}])</t>
  </si>
  <si>
    <t>Identify advisors that have more than two students under their guidance.</t>
  </si>
  <si>
    <t>SELECT T1.Advisor, COUNT(*) FROM Student AS T1 GROUP BY T1.Advisor HAVING COUNT(*) &gt; 2</t>
  </si>
  <si>
    <t>db.Student.aggregate([{$group:{_id:"$Advisor",count:{$sum:1}}},{$match:{count:{$gt:2}}},{$project:{Advisor:"$_id",count:1,_id:0}}])</t>
  </si>
  <si>
    <t>SELECT count(*) , project_id FROM Documents WHERE document_type_code = 'BK' GROUP BY project_id</t>
  </si>
  <si>
    <t>SELECT count(*) FROM Documents WHERE Document_Type_Code = 'BK'</t>
  </si>
  <si>
    <t>db.Projects.aggregate([{$unwind:"$Documents"},{$match:{"Documents.Document_Type_Code":"BK"}},{$count:"count"}])</t>
  </si>
  <si>
    <t>db.Projects.aggregate([{$unwind:"$Documents"},{$match:{"Documents.Document_Type_Code":"BK"}},{$group:{_id:"$Project_ID",count:{$sum:1}}},{$project:{Project_ID:"$_id",count:1,_id:0}}])</t>
  </si>
  <si>
    <t>SELECT count(*) FROM university WHERE LOCATION LIKE '%NY%'</t>
  </si>
  <si>
    <t>SELECT count(*) FROM university WHERE Location = 'New York';</t>
  </si>
  <si>
    <t>db.university.aggregate([{$match:{Location:"New York"}},{$count:"count"}])</t>
  </si>
  <si>
    <t>db.university.aggregate([{$match:{Location:{$regex:"NY",$options:"i"}}},{$count:"count"}])</t>
  </si>
  <si>
    <t>SELECT count(*) FROM Allergy_type WHERE allergytype = 'animal'</t>
  </si>
  <si>
    <t>SELECT count(*) FROM Allergy_Type WHERE AllergyType = 'Animal'</t>
  </si>
  <si>
    <t>db.Allergy_Type.aggregate([{$match:{AllergyType:"Animal"}},{$count:"count"}])</t>
  </si>
  <si>
    <t>db.Allergy_Type.aggregate([{$match:{AllergyType:"animal"}},{$count:"count"}])</t>
  </si>
  <si>
    <t>SELECT Team FROM technician GROUP BY Team ORDER BY COUNT(*) DESC LIMIT 1</t>
  </si>
  <si>
    <t>SELECT Team, COUNT(*) FROM technician GROUP BY Team ORDER BY COUNT(*) DESC;</t>
  </si>
  <si>
    <t>db.technician.aggregate([{$group:{_id:"$Team",count:{$sum:1}}},{$sort:{count:-1}},{$project:{Team:"$_id",count:1,_id:0}}])</t>
  </si>
  <si>
    <t>db.technician.aggregate([{$group:{_id:"$Team",count:{$sum:1}}},{$sort:{count:-1}},{$limit:1},{$project:{Team:"$_id",_id:0}}])</t>
  </si>
  <si>
    <t>SELECT DISTINCT Police_force FROM county_public_safety WHERE LOCATION != 'East'</t>
  </si>
  <si>
    <t>SELECT Police_force FROM county_public_safety WHERE Location != 'East'</t>
  </si>
  <si>
    <t>db.county_public_safety.find({Location:{$ne:"East"}},{Police_force:1,_id:0})</t>
  </si>
  <si>
    <t>db.county_public_safety.aggregate([{$match:{Location:{$ne:"East"}}},{$group:{_id:"$Police_force"}},{$project:{Police_force:"$_id",_id:0}}])</t>
  </si>
  <si>
    <t>SELECT advisor FROM Student GROUP BY advisor ORDER BY count(*) DESC LIMIT 1</t>
  </si>
  <si>
    <t>SELECT T2.Fname, T2.LName FROM Student AS T1 JOIN Faculty AS T2 ON T1.Advisor = T2.FacID GROUP BY T1.Advisor ORDER BY COUNT(*) DESC LIMIT 1</t>
  </si>
  <si>
    <t>db.Student.aggregate([{$lookup:{from:"Faculty",localField:"Advisor",foreignField:"FacID",as:"Docs1"}},{$unwind:"$Docs1"},{$group:{_id:"$Advisor",count:{$sum:1},Fname:{$min:"$Fname"},LName:{$min:"$LName"}}},{$sort:{count:-1}},{$limit:1},{$project:{Fname:1,LName:1,_id:0}}])</t>
  </si>
  <si>
    <t>db.Student.aggregate([{$group:{_id:"$Advisor",count:{$sum:1}}},{$sort:{count:-1}},{$limit:1},{$project:{Advisor:"$_id",_id:0}}])</t>
  </si>
  <si>
    <t>Find out which advisor has the highest student count.</t>
  </si>
  <si>
    <t>SELECT Advisor, COUNT(StuID) AS StudentCount FROM Student GROUP BY Advisor ORDER BY StudentCount DESC LIMIT 1</t>
  </si>
  <si>
    <t>db.Student.aggregate([{$group:{_id:"$Advisor",count:{$sum:{$cond:[{$gt:["$StuID",null]},1,0]}}}},{$sort:{count:-1}},{$limit:1},{$project:{Advisor:"$_id",count:1,_id:0}}])</t>
  </si>
  <si>
    <t>Who is the advisor with the greatest number of students under their guidance?</t>
  </si>
  <si>
    <t>SELECT T1.Fname, T1.LName FROM Student AS T1 JOIN (SELECT Advisor, COUNT(*) AS num_students FROM Student GROUP BY Advisor ORDER BY num_students DESC LIMIT 1) AS T2 ON T1.Advisor = T2.Advisor</t>
  </si>
  <si>
    <t>db.Student.aggregate([{$lookup:{from:"Student",localField:"Advisor",foreignField:"Advisor",as:"Docs1"}},{$unwind:"$Docs1"},{$project:{Fname:"$Docs1.Fname",LName:"$Docs1.LName",_id:0}}])</t>
  </si>
  <si>
    <t>SELECT manager_name FROM gas_station WHERE open_year &gt; 2000 GROUP BY manager_name ORDER BY count(*) DESC LIMIT 1</t>
  </si>
  <si>
    <t>SELECT T1.Manager_Name FROM gas_station AS T1 JOIN station_company AS T2 ON T1.Station_ID = T2.Station_ID WHERE T1.Open_Year &gt;= 2000 GROUP BY T1.Manager_Name ORDER BY COUNT(*) DESC LIMIT 1</t>
  </si>
  <si>
    <t>db.gas_station.aggregate([{$match:{Open_Year:{$gte:2000}}},{$unwind:"$station_company"},{$group:{_id:"$Manager_Name",count:{$sum:1}}},{$sort:{count:-1}},{$limit:1},{$project:{Manager_Name:"$_id",_id:0}}])</t>
  </si>
  <si>
    <t>db.gas_station.aggregate([{$match:{Open_Year:{$gt:2000}}},{$group:{_id:"$Manager_Name",count:{$sum:1}}},{$sort:{count:-1}},{$limit:1},{$project:{Manager_Name:"$_id",_id:0}}])</t>
  </si>
  <si>
    <t>Which manager oversees the highest number of gas stations that began operating after 2000?</t>
  </si>
  <si>
    <t>SELECT T2.Manager_Name FROM gas_station AS T1 JOIN station_company AS T2 ON T1.Station_ID = T2.Station_ID WHERE T1.Open_Year &gt; 2000 GROUP BY T2.Manager_Name ORDER BY COUNT(*) DESC LIMIT 1;</t>
  </si>
  <si>
    <t>db.gas_station.aggregate([{$match:{Open_Year:{$gt:2000}}},{$unwind:"$station_company"},{$group:{_id:"$Manager_Name",count:{$sum:1}}},{$sort:{count:-1}},{$limit:1},{$project:{Manager_Name:"$_id",_id:0}}])</t>
  </si>
  <si>
    <t>Name the manager responsible for the greatest number of gas stations launched post-2000.</t>
  </si>
  <si>
    <t>SELECT Manager_Name FROM gas_station WHERE Station_ID IN ( SELECT Station_ID FROM station_company WHERE Rank_of_the_Year &gt; 2000 GROUP BY Station_ID ORDER BY count(*) DESC LIMIT 1 )</t>
  </si>
  <si>
    <t>db.gas_station.aggregate([{$lookup:{from:"gas_station",as:"subquery_results",let:{local_field:"$Station_ID"},pipeline:[{$unwind:"$station_company"},{$match:{"station_company.Rank_of_the_Year":{$gt:2000}}},{$group:{_id:"$station_company.Station_ID",count:{$sum:1}}},{$sort:{count:-1}},{$project:{Station_ID:"$_id",_id:0}},{$match:{$expr:{$eq:["$Station_ID","$$local_field"]}}},{$limit:1}]}},{$match:{subquery_results:{$ne:[]}}},{$project:{subquery_results:0}},{$project:{Manager_Name:1,_id:0}}])</t>
  </si>
  <si>
    <t>SELECT POSITION FROM pilot WHERE Join_Year &lt; 2000 INTERSECT SELECT POSITION FROM pilot WHERE Join_Year &gt; 2005</t>
  </si>
  <si>
    <t>SELECT Position FROM pilot WHERE Join_Year &lt; 2000 UNION SELECT Position FROM pilot WHERE Join_Year &gt; 2005</t>
  </si>
  <si>
    <t>db.pilot.aggregate([{$match:{Join_Year:{$lt:2000}}},{$project:{Position:1,_id:0}},{$unionWith:{coll:"pilot",pipeline:[{$match:{Join_Year:{$gt:2005}}},{$project:{Position:1,_id:0}}]}},{$group:{_id:{Position:"$Position"}}},{$project:{_id:0,Position:"$_id.Position"}}])</t>
  </si>
  <si>
    <t>db.pilot.aggregate([{$group:{_id:"$Position",count:{$sum:1}}},{$match:{count:{$gte:2}}},{$project:{_id:0,Position:"$_id"}}])</t>
  </si>
  <si>
    <t>Display the pilot positions encompassing at least one pilot who joined before the year 2000 and another who joined following 2005.</t>
  </si>
  <si>
    <t>SELECT DISTINCT Position FROM pilot WHERE Pilot_ID IN (SELECT Pilot_ID FROM pilot WHERE Join_Year &lt; 2000) OR Pilot_ID IN (SELECT Pilot_ID FROM pilot WHERE Join_Year &gt; 2005)</t>
  </si>
  <si>
    <t>db.pilot.aggregate([{$match:{$or:[]}},{$lookup:{from:"pilot",as:"subquery_results",let:{local_field:"$Pilot_ID"},pipeline:[{$match:{Join_Year:{$lt:2000}}},{$project:{Pilot_ID:1,_id:0}},{$match:{$expr:{$eq:["$Pilot_ID","$$local_field"]}}},{$limit:1}]}},{$match:{subquery_results:{$ne:[]}}},{$project:{subquery_results:0}},{$lookup:{from:"pilot",as:"subquery_results",let:{local_field:"$Pilot_ID"},pipeline:[{$match:{Join_Year:{$gt:2005}}},{$project:{Pilot_ID:1,_id:0}},{$match:{$expr:{$eq:["$Pilot_ID","$$local_field"]}}},{$limit:1}]}},{$match:{subquery_results:{$ne:[]}}},{$project:{subquery_results:0}},{$group:{_id:"$Position"}},{$project:{_id:0,Position:"$_id"}}])</t>
  </si>
  <si>
    <t>SELECT max(Age) , min(Age) FROM STUDENT WHERE Major = 600</t>
  </si>
  <si>
    <t>SELECT min(Age) as youngest_age, max(Age) as oldest_age FROM Student WHERE Major = 600</t>
  </si>
  <si>
    <t>db.Student.aggregate([{$match:{Major:600}},{$group:{_id:null,youngest_age:{$min:"$Age"},oldest_age:{$max:"$Age"}}},{$project:{_id:0,youngest_age:1,oldest_age:1}}])</t>
  </si>
  <si>
    <t>db.Student.aggregate([{$match:{Major:600}},{$group:{_id:null,max_Age:{$max:"$Age"},min_Age:{$min:"$Age"}}},{$project:{_id:0,max_Age:1,min_Age:1}}])</t>
  </si>
  <si>
    <t>SELECT T2.Shop_Name FROM stock AS T1 JOIN shop AS T2 ON T1.Shop_ID = T2.Shop_ID GROUP BY T1.Shop_ID HAVING COUNT(*) &gt; 1</t>
  </si>
  <si>
    <t>SELECT Shop_ID FROM stock GROUP BY Shop_ID HAVING COUNT(DISTINCT Device_ID) &gt; 1</t>
  </si>
  <si>
    <t>db.device.aggregate([{$unwind:"$stock"},{$group:{_id:"$stock.Shop_ID",__distinct_Device_ID:{$addToSet:"$stock.Device_ID"}}},{$match:{$expr:{$gt:[{$size:"$__distinct_Device_ID"},1]}}},{$project:{Shop_ID:"$_id",_id:0}}])</t>
  </si>
  <si>
    <t>db.shop.aggregate([{$unwind:"$stock"},{$group:{_id:"$Shop_ID",Shop_Name:{$first:"$Shop_Name"},distinctDevices:{$addToSet:"$stock.Device_ID"}}},{$project:{Shop_Name:1,deviceCount:{$size:"$distinctDevices"}}},{$match:{deviceCount:{$gt:1}}},{$project:{Shop_Name:1,_id:0}}])</t>
  </si>
  <si>
    <t>SELECT Fname FROM FACULTY WHERE "Rank" = 'Professor' ORDER BY Fname</t>
  </si>
  <si>
    <t>SELECT Fname FROM Faculty ORDER BY Fname ASC;</t>
  </si>
  <si>
    <t>db.Faculty.find({},{Fname:1,_id:0}).sort({Fname:1})</t>
  </si>
  <si>
    <t>db.Faculty.aggregate([{$match:{Rank:"Professor"}},{$sort:{Fname:1}},{$project:{Fname:1,_id:0}}])</t>
  </si>
  <si>
    <t>SELECT count(DISTINCT complaint_type_code) FROM complaints</t>
  </si>
  <si>
    <t>SELECT complaint_type_code, count(*) FROM Complaints GROUP BY complaint_type_code;</t>
  </si>
  <si>
    <t>db.Staff.aggregate([{$unwind:"$Complaints"},{$group:{_id:"$Complaints.complaint_type_code",count:{$sum:1}}},{$project:{complaint_type_code:"$_id",count:1,_id:0}}])</t>
  </si>
  <si>
    <t>db.Customers.aggregate([{$unwind:"$Complaints"},{$group:{_id:"$Complaints.complaint_type_code"}},{$group:{_id:null,count:{$sum:1}}},{$project:{count_DISTINCT_complaint_type_code:"$count",_id:0}}])</t>
  </si>
  <si>
    <t>SELECT max(T2.gradepoint) , min(T2.gradepoint) FROM Enrolled_in AS T1 JOIN Gradeconversion AS T2 ON T1.Grade = T2.lettergrade JOIN Student AS T3 ON T1.StuID = T3.StuID WHERE T3.city_code = 'NYC'</t>
  </si>
  <si>
    <t>db.Student.aggregate([{$match:{city_code:"NYC"}},{$unwind:"$Enrolled_in"},{$lookup:{from:"Gradeconversion",localField:"Enrolled_in.Grade",foreignField:"lettergrade",as:"Docs1"}},{$unwind:"$Docs1"},{$group:{_id:null,max_gradepoint:{$max:"$Docs1.gradepoint"},min_gradepoint:{$min:"$Docs1.gradepoint"}}},{$project:{_id:0,max_gradepoint:1,min_gradepoint:1}}])</t>
  </si>
  <si>
    <t>Give the maximum and minimum gradepoints for students living in NYC?</t>
  </si>
  <si>
    <t>What are the highest and lowest grade points for students residing in New York City?</t>
  </si>
  <si>
    <t>Find the maximum and minimum grade points achieved by students living in NYC.</t>
  </si>
  <si>
    <t>Can you provide the maximum and minimum grade point values for students from NYC?</t>
  </si>
  <si>
    <t>SELECT max(gradepoint) , min(gradepoint) FROM Student AS s JOIN Minor_in AS m ON s.StuID = m.StuID JOIN Department AS d ON m.DNO = d.DNO WHERE s.city_code = 'NYC'</t>
  </si>
  <si>
    <t>db.Student.aggregate([{$match:{city_code:"NYC"}},{$lookup:{from:"Department",let:{local_field:"$StuID"},pipeline:[{$unwind:"$Minor_in"},{$match:{$expr:{$eq:["$Minor_in.StuID","$$local_field"]}}},{$project:{Division:"$Division",DName:"$DName",Room:"$Room",Building:"$Building",DPhone:"$DPhone",StuID:"$Minor_in.StuID",DNO:"$Minor_in.DNO",_id:0}}],as:"Docs1"}},{$unwind:"$Docs1"},{$lookup:{from:"Department",localField:"Docs1.DNO",foreignField:"DNO",as:"Docs2"}},{$unwind:"$Docs2"},{$group:{_id:null,max_gradepoint:{$max:"$gradepoint"},min_gradepoint:{$min:"$gradepoint"}}},{$project:{_id:0,max_gradepoint:1,min_gradepoint:1}}])</t>
  </si>
  <si>
    <t>SELECT T1.statement_details , T2.document_name FROM Statements AS T1 JOIN Documents AS T2 ON T1.statement_id = T2.document_id WHERE T1.statement_details = 'Private Project'</t>
  </si>
  <si>
    <t>SELECT t2.Statement_Details, t1.Document_Name FROM Statements AS t2 JOIN Documents AS t1 ON t2.Statement_ID = t1.Document_ID WHERE t1.Document_Type_Code = (SELECT Document_Type_Code FROM Ref_Document_Types WHERE Document_Type_Name = 'Private Project')</t>
  </si>
  <si>
    <t>db.Ref_Document_Types.aggregate([{$unwind:"$Documents"},{$unwind:"$Documents.Statements"},{$lookup:{from:"Projects",let:{local_field:"$Documents.Statements.Statement_ID"},pipeline:[{$unwind:"$Documents"},{$match:{$expr:{$eq:["$Documents.Document_ID","$$local_field"]}}},{$project:{Project_Details:"$Project_Details",Document_ID:"$Documents.Document_ID",Document_Type_Code:"$Documents.Document_Type_Code",Project_ID:"$Documents.Project_ID",Document_Date:"$Documents.Document_Date",Document_Name:"$Documents.Document_Name",Document_Description:"$Documents.Document_Description",Other_Details:"$Documents.Other_Details",_id:0}}],as:"Docs1"}},{$unwind:"$Docs1"},{$lookup:{from:"Ref_Document_Types",pipeline:[{$match:{Document_Type_Name:"Private Project"}},{$project:{Document_Type_Code:1,_id:0}},{$limit:1}],as:"scalar_subq"}},{$unwind:{path:"$scalar_subq",preserveNullAndEmptyArrays:false}},{$match:{$expr:{$eq:["$Documents.Document_Type_Code","$scalar_subq.Document_Type_Code"]}}},{$project:{scalar_subq:0}},{$project:{Statement_Details:"$Documents.Statements.Statement_Details",Document_Name:"$Docs1.Document_Name",_id:0}}])</t>
  </si>
  <si>
    <t>db.Projects.aggregate([{$unwind:"$Documents"},{$unwind:"$Documents.Statements"},{$match:{"Documents.Statements.Statement_Details":"Private Project"}},{$project:{Statement_Details:"$Documents.Statements.Statement_Details",Document_Name:"$Documents.Document_Name",_id:0}}])</t>
  </si>
  <si>
    <t>What statement details exist for documents categorized under 'Private Project', and what are the corresponding document names?</t>
  </si>
  <si>
    <t>SELECT S.Statement_Details, D.Document_Name FROM Statements AS S JOIN Documents AS D ON S.Statement_ID = D.Document_ID JOIN Ref_Document_Types AS R ON D.Document_Type_Code = R.Document_Type_Code WHERE R.Document_Type_Name = 'Private Project'</t>
  </si>
  <si>
    <t>db.Ref_Document_Types.aggregate([{$match:{Document_Type_Name:"Private Project"}},{$unwind:"$Documents"},{$unwind:"$Documents.Statements"},{$lookup:{from:"Projects",let:{local_field:"$Documents.Statements.Statement_ID"},pipeline:[{$unwind:"$Documents"},{$match:{$expr:{$eq:["$Documents.Document_ID","$$local_field"]}}},{$project:{Project_Details:"$Project_Details",Document_ID:"$Documents.Document_ID",Document_Type_Code:"$Documents.Document_Type_Code",Project_ID:"$Documents.Project_ID",Document_Date:"$Documents.Document_Date",Document_Name:"$Documents.Document_Name",Document_Description:"$Documents.Document_Description",Other_Details:"$Documents.Other_Details",_id:0}}],as:"Docs1"}},{$unwind:"$Docs1"},{$project:{Statement_Details:"$Documents.Statements.Statement_Details",Document_Name:"$Docs1.Document_Name",_id:0}}])</t>
  </si>
  <si>
    <t>SELECT Denomination FROM school GROUP BY Denomination HAVING COUNT(*) &gt; 1</t>
  </si>
  <si>
    <t>SELECT Denomination, COUNT(*) FROM school GROUP BY Denomination HAVING COUNT(*) &gt; 1</t>
  </si>
  <si>
    <t>db.school.aggregate([{$group:{_id:"$Denomination",count:{$sum:1}}},{$match:{count:{$gt:1}}},{$project:{Denomination:"$_id",count:1,_id:0}}])</t>
  </si>
  <si>
    <t>db.school.aggregate([{$group:{_id:"$Denomination",count:{$sum:1}}},{$match:{count:{$gt:1}}},{$project:{Denomination:"$_id",_id:0}}])</t>
  </si>
  <si>
    <t>SELECT company , "rank" FROM company ORDER BY Sales_billion DESC</t>
  </si>
  <si>
    <t>SELECT Company, "Rank", Sales_billion FROM company ORDER BY Sales_billion DESC</t>
  </si>
  <si>
    <t>db.company.find({},{Company:1,Rank:1,Sales_billion:1,_id:0}).sort({Sales_billion:-1})</t>
  </si>
  <si>
    <t>db.company.find({},{Company:1,Rank:1,_id:0}).sort({Sales_billion:-1})</t>
  </si>
  <si>
    <t>SELECT headquarters FROM company WHERE main_industry = 'Banking' INTERSECT SELECT headquarters FROM company WHERE main_industry = 'Oil and gas'</t>
  </si>
  <si>
    <t>SELECT Headquarters FROM company WHERE Main_Industry = 'Banking' INTERSECT SELECT Headquarters FROM company WHERE Main_Industry = 'Oil &amp; Gas'</t>
  </si>
  <si>
    <t>db.company.aggregate([{$match:{$or:[{Main_Industry:"Banking"},{Main_Industry:"Oil &amp; Gas"}]}},{$group:{_id:{Headquarters:"$Headquarters"},__intersect_values:{$addToSet:"$Main_Industry"}}},{$match:{__intersect_values:{$all:["Banking","Oil &amp; Gas"]}}},{$project:{_id:0,Headquarters:"$_id.Headquarters"}}])</t>
  </si>
  <si>
    <t>db.company.aggregate([{$match:{$or:[{Main_Industry:"Banking"},{Main_Industry:"Oil and gas"}]}},{$group:{_id:"$Headquarters",industries:{$addToSet:"$Main_Industry"}}},{$match:{industries:{$all:["Banking","Oil and gas"]}}},{$project:{Headquarters:"$_id",_id:0}}])</t>
  </si>
  <si>
    <t>Provide the headquarters where there are companies present in both the banking and oil and gas fields.</t>
  </si>
  <si>
    <t>SELECT Headquarters FROM company WHERE Company_ID IN ( SELECT Company_ID FROM station_company WHERE Company_ID IN ( SELECT Company_ID FROM company WHERE Main_Industry = 'Banking' ) AND Company_ID IN ( SELECT Company_ID FROM company WHERE Main_Industry = 'Oil and gas' ) )</t>
  </si>
  <si>
    <t>db.company.aggregate([{$lookup:{from:"company",as:"subquery_results",let:{local_field:"$Company_ID"},pipeline:[{$unwind:"$station_company"},{$match:{Main_Industry:"Oil and gas"}},{$lookup:{from:"company",as:"subquery_results",let:{local_field:"$station_company.Company_ID"},pipeline:[{$match:{Main_Industry:"Banking"}},{$project:{Company_ID:1,_id:0}},{$match:{$expr:{$eq:["$Company_ID","$$local_field"]}}},{$limit:1}]}},{$match:{subquery_results:{$ne:[]}}},{$project:{subquery_results:0}},{$project:{"station_company.Company_ID":1,_id:0}},{$match:{$expr:{$eq:["$station_company.Company_ID","$$local_field"]}}},{$limit:1}]}},{$match:{subquery_results:{$ne:[]}}},{$project:{subquery_results:0}},{$project:{Headquarters:1,_id:0}}])</t>
  </si>
  <si>
    <t>SELECT AVG(Price) , AVG(Cases) FROM WINE WHERE YEAR = 2009 AND Grape = 'Zinfandel'</t>
  </si>
  <si>
    <t>SELECT avg(Price), sum(Cases) FROM wine WHERE Grape = 'Zinfandel' AND Year = 2009</t>
  </si>
  <si>
    <t>db.appellations.aggregate([{$unwind:"$wine"},{$match:{"wine.Year":2009,"wine.Grape":"Zinfandel"}},{$group:{_id:null,avg_Price:{$avg:"$wine.Price"},sum_Cases:{$sum:"$wine.Cases"}}},{$project:{_id:0,avg_Price:1,sum_Cases:1}}])</t>
  </si>
  <si>
    <t>db.appellations.aggregate([{$unwind:"$wine"},{$match:{"wine.Year":2009,"wine.Grape":"Zinfandel"}},{$group:{_id:null,AVG_Price:{$avg:"$wine.Price"},AVG_Cases:{$avg:"$wine.Cases"}}},{$project:{_id:0,AVG_Price:1,AVG_Cases:1}}])</t>
  </si>
  <si>
    <t>SELECT Major FROM STUDENT GROUP BY major ORDER BY count(*) DESC LIMIT 1</t>
  </si>
  <si>
    <t>SELECT Major, COUNT(*) AS Total_Students FROM Student GROUP BY Major ORDER BY Total_Students DESC LIMIT 1</t>
  </si>
  <si>
    <t>db.Student.aggregate([{$group:{_id:"$Major",count:{$sum:1}}},{$sort:{count:-1}},{$limit:1},{$project:{Major:"$_id",count:1,_id:0}}])</t>
  </si>
  <si>
    <t>db.Student.aggregate([{$group:{_id:"$Major",count:{$sum:1}}},{$sort:{count:-1}},{$limit:1},{$project:{Major:"$_id",_id:0}}])</t>
  </si>
  <si>
    <t>What is the major with the highest enrollment of students?</t>
  </si>
  <si>
    <t>SELECT Major, COUNT(*) AS Enrollment FROM Student GROUP BY Major ORDER BY Enrollment DESC LIMIT 1</t>
  </si>
  <si>
    <t>SELECT max(Price) , max(Score) , YEAR FROM WINE GROUP BY YEAR</t>
  </si>
  <si>
    <t>SELECT Year, MAX(Price) AS Highest_Price, MAX(Score) AS Highest_Score FROM wine GROUP BY Year</t>
  </si>
  <si>
    <t>db.appellations.aggregate([{$unwind:"$wine"},{$group:{_id:"$wine.Year",Highest_Price:{$max:"$wine.Price"},Highest_Score:{$max:"$wine.Score"}}},{$project:{Year:"$_id",Highest_Price:1,Highest_Score:1,_id:0}}])</t>
  </si>
  <si>
    <t>db.appellations.aggregate([{$unwind:"$wine"},{$group:{_id:"$wine.Year",max_Price:{$max:"$wine.Price"},max_Score:{$max:"$wine.Score"}}},{$project:{max_Price:1,max_Score:1,Year:"$_id",_id:0}}])</t>
  </si>
  <si>
    <t>SELECT department_id , SUM(salary) FROM employees GROUP BY department_id HAVING count(*) &gt;= 2</t>
  </si>
  <si>
    <t>SELECT department_id, SUM(salary) FROM employees GROUP BY department_id HAVING COUNT(*) &gt; 2;</t>
  </si>
  <si>
    <t>db.jobs.aggregate([{$unwind:"$employees"},{$group:{_id:"$employees.DEPARTMENT_ID",count:{$sum:1},sum_SALARY:{$sum:"$employees.SALARY"}}},{$match:{count:{$gt:2}}},{$project:{DEPARTMENT_ID:"$_id",sum_SALARY:1,_id:0}}])</t>
  </si>
  <si>
    <t>db.departments.aggregate([{$unwind:"$employees"},{$group:{_id:"$DEPARTMENT_ID",SUM_salary:{$sum:"$employees.SALARY"},count:{$sum:1}}},{$match:{count:{$gte:2}}},{$project:{DEPARTMENT_ID:"$_id",SUM_salary:1,_id:0}}])</t>
  </si>
  <si>
    <t>SELECT count(*) , Grape FROM WINE GROUP BY Grape</t>
  </si>
  <si>
    <t>SELECT Grape, COUNT(DISTINCT Name) FROM wine GROUP BY Grape</t>
  </si>
  <si>
    <t>db.appellations.aggregate([{$unwind:"$wine"},{$group:{_id:"$wine.Grape",__distinct_Name:{$addToSet:"$wine.Name"}}},{$project:{_id:1,count_distinct_Name:{$size:"$__distinct_Name"}}},{$project:{Grape:"$_id",count:1,_id:0}}])</t>
  </si>
  <si>
    <t>db.grapes.aggregate([{$unwind:"$wine"},{$group:{_id:"$Grape",count:{$sum:1}}},{$project:{Grape:"$_id",count:1,_id:0}}])</t>
  </si>
  <si>
    <t>SELECT name , CLASS , "rank" FROM captain</t>
  </si>
  <si>
    <t>SELECT C.Name AS Captain_Name, C.Class AS Captain_Classification, C.Rank AS Captain_Rank, S.Name AS Ship_Name FROM Captain AS C JOIN Ship AS S ON C.Ship_ID = S.Ship_ID;</t>
  </si>
  <si>
    <t>db.Ship.aggregate([{$unwind:"$captain"},{$project:{Name:"$Name",Class:"$captain.Class",Rank:"$captain.Rank",_id:0}}])</t>
  </si>
  <si>
    <t>db.Ship.aggregate([{$unwind:"$captain"},{$project:{Name:"$captain.Name",Class:"$captain.Class",Rank:"$captain.Rank",_id:0}}])</t>
  </si>
  <si>
    <t>SELECT CName FROM Course WHERE Credits = 3 OR (Credits = 1 AND Hours = '4 hours');</t>
  </si>
  <si>
    <t>db.Faculty.aggregate([{$unwind:"$Course"},{$match:{$or:[{"Course.Credits":3},{$and:[{"Course.Credits":1},{"Course.Hours":"4 hours"}]}]}},{$project:{CName:"$Course.CName",_id:0}}])</t>
  </si>
  <si>
    <t>What are the names of courses that give either 3 credits, or 1 credit and 4 hours?</t>
  </si>
  <si>
    <t>SELECT CName FROM Course WHERE Credits = 3 UNION SELECT CName FROM Course WHERE Credits = 1 AND Hours = '4'</t>
  </si>
  <si>
    <t>db.Faculty.aggregate([{$unwind:"$Course"},{$match:{"Course.Credits":3}},{$project:{CName:"$Course.CName",_id:0}},{$unionWith:{coll:"Faculty",pipeline:[{$unwind:"$Course"},{$match:{"Course.Hours":"4","Course.Credits":1}},{$project:{CName:"$Course.CName",_id:0}}]}},{$group:{_id:{CName:"$CName"}}},{$project:{_id:0,CName:"$_id.CName"}}])</t>
  </si>
  <si>
    <t>List the names of courses that offer 3 credits or have 1 credit and are scheduled for 4 hours.</t>
  </si>
  <si>
    <t>SELECT CName FROM Course WHERE Credits = 3 OR (Credits = 1 AND Hours = '4 hours')</t>
  </si>
  <si>
    <t>Please provide the course names for those courses that either have 3 credits or grant 1 credit but require 4 hours of attendance.</t>
  </si>
  <si>
    <t>SELECT Advisor FROM STUDENT WHERE city_code = 'BAL'</t>
  </si>
  <si>
    <t>SELECT T2.Fname, T2.LName FROM Student AS T1 JOIN Student AS T2 ON T1.Advisor = T2.StuID WHERE T1.city_code = 'BAL'</t>
  </si>
  <si>
    <t>db.Student.aggregate([{$lookup:{from:"Student",localField:"Advisor",foreignField:"StuID",as:"Docs1"}},{$unwind:"$Docs1"},{$match:{"Docs1.city_code":"BAL"}},{$project:{Fname:"$Docs1.Fname",LName:"$Docs1.LName",_id:0}}])</t>
  </si>
  <si>
    <t>db.Student.aggregate([{$match:{city_code:"BAL"}},{$project:{Advisor:1,_id:0}}])</t>
  </si>
  <si>
    <t>Who serves as the advisors for students from the city identified by the code "BAL"?</t>
  </si>
  <si>
    <t>SELECT T1.Fname, T1.LName FROM Student AS T1 JOIN Student AS T2 ON T1.Advisor = T2.StuID WHERE T1.city_code = 'BAL'</t>
  </si>
  <si>
    <t>SELECT Advisor FROM Student WHERE StuID = 1004</t>
  </si>
  <si>
    <t>SELECT T2.Fname, T2.LName FROM Student AS T1 JOIN Student AS T2 ON T1.Advisor = T2.StuID WHERE T1.StuID = 1004;</t>
  </si>
  <si>
    <t>db.Student.aggregate([{$lookup:{from:"Student",localField:"Advisor",foreignField:"StuID",as:"Docs1"}},{$unwind:"$Docs1"},{$match:{"Docs1.StuID":1004}},{$project:{Fname:"$Docs1.Fname",LName:"$Docs1.LName",_id:0}}])</t>
  </si>
  <si>
    <t>db.Student.find({StuID:1004},{Advisor:1,_id:0})</t>
  </si>
  <si>
    <t>What is the name of the advisor for the student numbered 1004?</t>
  </si>
  <si>
    <t>SELECT T2.Fname, T2.LName FROM Student AS T1 JOIN Advisor AS T2 ON T1.Advisor = T2.Advisor_ID WHERE T1.StuID = 1004</t>
  </si>
  <si>
    <t>db.Student.aggregate([{$match:{StuID:1004}},{$lookup:{from:"Advisor",localField:"Advisor",foreignField:"Advisor_ID",as:"Docs1"}},{$unwind:"$Docs1"},{$project:{Fname:1,LName:1,_id:0}}])</t>
  </si>
  <si>
    <t>SELECT Winery FROM WINE GROUP BY Winery HAVING count(*) &gt;= 4</t>
  </si>
  <si>
    <t>SELECT Winery FROM wine GROUP BY Winery HAVING COUNT(DISTINCT Name) &gt;= 4</t>
  </si>
  <si>
    <t>db.appellations.aggregate([{$unwind:"$wine"},{$group:{_id:"$wine.Winery",__distinct_Name:{$addToSet:"$wine.Name"}}},{$match:{$expr:{$gte:[{$size:"$__distinct_Name"},4]}}},{$project:{Winery:"$_id",_id:0}}])</t>
  </si>
  <si>
    <t>db.appellations.aggregate([{$unwind:"$wine"},{$group:{_id:"$wine.Winery",wineCount:{$sum:1}}},{$match:{wineCount:{$gte:4}}},{$project:{Winery:"$_id",_id:0}}])</t>
  </si>
  <si>
    <t>Identify wineries that have produced at least four different wines.</t>
  </si>
  <si>
    <t>SELECT Winery FROM wine GROUP BY Winery HAVING COUNT(DISTINCT Name) &gt;= 4;</t>
  </si>
  <si>
    <t>SELECT document_type_description FROM Ref_document_types WHERE document_type_name = 'Film'</t>
  </si>
  <si>
    <t>SELECT * FROM Ref_Document_Types WHERE Document_Type_Name = 'Film'</t>
  </si>
  <si>
    <t>db.Ref_Document_Types.find({Document_Type_Name:"Film"},{Document_Type_Code:1,Document_Type_Name:1,Document_Type_Description:1,_id:0})</t>
  </si>
  <si>
    <t>db.Ref_Document_Types.aggregate([{$match:{Document_Type_Name:"Film"}},{$project:{Document_Type_Description:1,_id:0}}])</t>
  </si>
  <si>
    <t>SELECT Enrollment FROM school WHERE Denomination != 'Catholic'</t>
  </si>
  <si>
    <t>SELECT School, Enrollment FROM school WHERE Denomination != 'Catholic'</t>
  </si>
  <si>
    <t>db.school.find({Denomination:{$ne:"Catholic"}},{School:1,Enrollment:1,_id:0})</t>
  </si>
  <si>
    <t>db.school.find({Denomination:{$ne:"Catholic"}},{Enrollment:1,_id:0})</t>
  </si>
  <si>
    <t>SELECT test_result , COUNT(*) FROM Student_Tests_Taken GROUP BY test_result ORDER BY COUNT(*) DESC</t>
  </si>
  <si>
    <t>SELECT test_result, COUNT(DISTINCT student_id) FROM Student_Tests_Taken INNER JOIN Student_Course_Enrolment ON Student_Tests_Taken.registration_id = Student_Course_Enrolment.registration_id GROUP BY test_result</t>
  </si>
  <si>
    <t>db.Students.aggregate([{$unwind:"$Student_Course_Enrolment"},{$unwind:"$Student_Course_Enrolment.Student_Tests_Taken"},{$group:{_id:"$Student_Course_Enrolment.Student_Tests_Taken.test_result",__distinct_student_id:{$addToSet:"$student_id"}}},{$project:{_id:1,count_distinct_student_id:{$size:"$__distinct_student_id"}}},{$project:{test_result:"$_id",count:1,_id:0}}])</t>
  </si>
  <si>
    <t>db.Students.aggregate([{$unwind:"$Student_Course_Enrolment"},{$unwind:"$Student_Course_Enrolment.Student_Tests_Taken"},{$group:{_id:"$Student_Course_Enrolment.Student_Tests_Taken.test_result",COUNT:{$sum:1}}},{$sort:{COUNT:-1}},{$project:{test_result:"$_id",COUNT:1,_id:0}}])</t>
  </si>
  <si>
    <t>SELECT country , count(*) FROM airlines GROUP BY country ORDER BY count(*) DESC</t>
  </si>
  <si>
    <t>SELECT country, COUNT(DISTINCT alid) AS num_airlines FROM airlines GROUP BY country ORDER BY num_airlines DESC;</t>
  </si>
  <si>
    <t>db.airlines.aggregate([{$group:{_id:"$country",__distinct_alid:{$addToSet:"$alid"}}},{$project:{_id:1,count_distinct_alid:{$size:"$__distinct_alid"}}},{$sort:{num_airlines:-1}},{$project:{country:"$_id",num_airlines:1,_id:0}}])</t>
  </si>
  <si>
    <t>db.airlines.aggregate([{$group:{_id:"$country",count:{$sum:1}}},{$sort:{count:-1}},{$project:{country:"$_id",count:1,_id:0}}])</t>
  </si>
  <si>
    <t>Show the number of airlines available in each country, ordered by the total count in descending order.</t>
  </si>
  <si>
    <t>SELECT count(*) , country FROM airlines GROUP BY country ORDER BY count(*) DESC</t>
  </si>
  <si>
    <t>db.airlines.aggregate([{$group:{_id:"$country",count:{$sum:1}}},{$sort:{count:-1}},{$project:{count:1,country:"$_id",_id:0}}])</t>
  </si>
  <si>
    <t>SELECT avg(price) FROM wine WHERE Appelation NOT IN (SELECT T1.Appelation FROM APPELLATIONS AS T1 JOIN WINE AS T2 ON T1.Appelation = T2.Appelation WHERE T1.County = 'Sonoma')</t>
  </si>
  <si>
    <t>SELECT avg(Price) FROM wine WHERE Appelation NOT IN (SELECT Appelation FROM appellations WHERE County != 'Sonoma')</t>
  </si>
  <si>
    <t>db.appellations.aggregate([{$unwind:"$wine"},{$lookup:{from:"appellations",as:"subquery_results",let:{local_field:"$wine.Appelation"},pipeline:[{$match:{County:{$ne:"Sonoma"}}},{$project:{Appelation:1,_id:0}},{$match:{$expr:{$eq:["$Appelation","$$local_field"]}}},{$limit:1}]}},{$match:{subquery_results:{$eq:[]}}},{$project:{subquery_results:0}},{$group:{_id:null,avg_Price:{$avg:"$wine.Price"}}},{$project:{_id:0,avg_Price:1}}])</t>
  </si>
  <si>
    <t>db.appellations.aggregate([{$match:{County:{$ne:"Sonoma"}}},{$unwind:"$wine"},{$group:{_id:null,avg_price:{$avg:"$wine.Price"}}},{$project:{_id:0,avg_price:1}}])</t>
  </si>
  <si>
    <t>What is the average price for wines not produced in Sonoma county?</t>
  </si>
  <si>
    <t>Calculate the average cost of wines produced outside of Sonoma County.</t>
  </si>
  <si>
    <t>What is the mean price of wines that do not come from Sonoma County?</t>
  </si>
  <si>
    <t>SELECT AVG(Price) FROM wine WHERE State != 'Sonoma County'</t>
  </si>
  <si>
    <t>db.appellations.aggregate([{$unwind:"$wine"},{$match:{"wine.State":{$ne:"Sonoma County"}}},{$group:{_id:null,avg_Price:{$avg:"$wine.Price"}}},{$project:{_id:0,avg_Price:1}}])</t>
  </si>
  <si>
    <t>Determine the average pricing of wines that are not sourced from Sonoma County.</t>
  </si>
  <si>
    <t>SELECT avg(Price) FROM wine WHERE State != 'Sonoma County'</t>
  </si>
  <si>
    <t>SELECT T2.Height FROM climber AS T1 JOIN mountain AS T2 ON T1.Mountain_ID = T2.Mountain_ID ORDER BY T1.Points DESC LIMIT 1</t>
  </si>
  <si>
    <t>SELECT t1.Height * t2.Points AS Scaled_Height FROM mountain AS t1 JOIN climber AS t2 ON t1.Mountain_ID = t2.Mountain_ID ORDER BY t2.Points DESC LIMIT 1</t>
  </si>
  <si>
    <t>db.mountain.aggregate([{$unwind:"$climber"},{$sort:{"climber.Points":-1}},{$limit:1},{$project:{Scaled_Height:{$multiply:["$Height","$climber.Points"]},_id:0}}])</t>
  </si>
  <si>
    <t>db.mountain.aggregate([{$unwind:"$climber"},{$group:{_id:null,max_Points:{$max:"$climber.Points"}}},{$lookup:{from:"mountain",localField:"max_Points",foreignField:"climber.Points",as:"Docs1"}},{$unwind:"$Docs1"},{$project:{Height:"$Docs1.Height",_id:0}}])</t>
  </si>
  <si>
    <t>SELECT T2.name , sum(T1.show_times_per_day) FROM schedule AS T1 JOIN cinema AS T2 ON T1.cinema_id = T2.cinema_id GROUP BY T1.cinema_id</t>
  </si>
  <si>
    <t>SELECT Cinema_ID, SUM(Show_times_per_day) AS Total_Show_Times_Per_Day FROM schedule GROUP BY Cinema_ID</t>
  </si>
  <si>
    <t>db.cinema.aggregate([{$unwind:"$schedule"},{$group:{_id:"$schedule.Cinema_ID",Total_Show_Times_Per_Day:{$sum:"$schedule.Show_times_per_day"}}},{$project:{Cinema_ID:"$_id",Total_Show_Times_Per_Day:1,_id:0}}])</t>
  </si>
  <si>
    <t>db.cinema.aggregate([{$unwind:"$schedule"},{$group:{_id:"$Name",sum_Show_times_per_day:{$sum:"$schedule.Show_times_per_day"}}},{$project:{_id:0,Name:"$_id",sum_Show_times_per_day:1}}])</t>
  </si>
  <si>
    <t>What is the daily total of show times for every cinema?</t>
  </si>
  <si>
    <t>SELECT sum(Show_times_per_day) , Cinema_ID FROM schedule GROUP BY Cinema_ID</t>
  </si>
  <si>
    <t>db.cinema.aggregate([{$unwind:"$schedule"},{$group:{_id:"$schedule.Cinema_ID",sum_Show_times_per_day:{$sum:"$schedule.Show_times_per_day"}}},{$project:{sum_Show_times_per_day:1,Cinema_ID:"$_id",_id:0}}])</t>
  </si>
  <si>
    <t>Can you provide the total number of daily show times for each cinema?</t>
  </si>
  <si>
    <t>SELECT Cinema_ID, SUM(Show_times_per_day) FROM schedule GROUP BY Cinema_ID</t>
  </si>
  <si>
    <t>db.cinema.aggregate([{$unwind:"$schedule"},{$group:{_id:"$schedule.Cinema_ID",sum_Show_times_per_day:{$sum:"$schedule.Show_times_per_day"}}},{$project:{Cinema_ID:"$_id",sum_Show_times_per_day:1,_id:0}}])</t>
  </si>
  <si>
    <t>What are the total show times per day across different cinemas?</t>
  </si>
  <si>
    <t>SELECT sum(Show_times_per_day), Cinema_ID FROM schedule GROUP BY Cinema_ID</t>
  </si>
  <si>
    <t>SELECT T1.course_name FROM Courses AS T1 JOIN Student_Course_Enrolment AS T2 ON T1.course_id = T2.course_id GROUP BY T1.course_name HAVING COUNT(*) = 1</t>
  </si>
  <si>
    <t>SELECT Courses.course_name FROM Courses JOIN Student_Course_Enrolment ON Courses.course_id = Student_Course_Enrolment.course_id GROUP BY Courses.course_name HAVING COUNT(DISTINCT Student_Course_Enrolment.student_id) = 1;</t>
  </si>
  <si>
    <t>db.Course_Authors_and_Tutors.aggregate([{$unwind:"$Courses"},{$unwind:"$Courses.Student_Course_Enrolment"},{$group:{_id:"$Courses.course_name",__distinct_student_id:{$addToSet:"$Courses.Student_Course_Enrolment.student_id"}}},{$match:{$expr:{$eq:[{$size:"$__distinct_student_id"},1]}}},{$project:{course_name:"$_id",_id:0}}])</t>
  </si>
  <si>
    <t>db.Subjects.aggregate([{$unwind:"$Courses"},{$project:{course_name:"$Courses.course_name",count_Student_Course_Enrolment:{$size:"$Courses.Student_Course_Enrolment"}}},{$match:{count_Student_Course_Enrolment:1}},{$project:{course_name:1,_id:0}}])</t>
  </si>
  <si>
    <t>SELECT allergytype , count(*) FROM Allergy_type GROUP BY allergytype</t>
  </si>
  <si>
    <t>SELECT AllergyType, COUNT(Allergy) FROM Allergy_Type JOIN Has_Allergy ON Allergy_Type.Allergy = Has_Allergy.Allergy GROUP BY AllergyType</t>
  </si>
  <si>
    <t>db.Allergy_Type.aggregate([{$unwind:"$Has_Allergy"},{$group:{_id:"$AllergyType",count:{$sum:{$cond:[{$gt:["$Allergy",null]},1,0]}}}},{$project:{AllergyType:"$_id",count:1,_id:0}}])</t>
  </si>
  <si>
    <t>db.Allergy_Type.aggregate([{$group:{_id:"$AllergyType",count:{$sum:1}}},{$project:{AllergyType:"$_id",count:1,_id:0}}])</t>
  </si>
  <si>
    <t>SELECT T2.created , T2.state , T2.phone_number FROM contestants AS T1 JOIN votes AS T2 ON T1.contestant_number = T2.contestant_number WHERE T1.contestant_name = 'Tabatha Gehling'</t>
  </si>
  <si>
    <t>SELECT V.created, A.state, V.phone_number FROM VOTES V JOIN CONTESTANTS C ON V.contestant_number = C.contestant_number JOIN AREA_CODE_STATE A ON V.state = A.state WHERE C.contestant_name = 'Tabatha Gehling'</t>
  </si>
  <si>
    <t>db.CONTESTANTS.aggregate([{$match:{contestant_name:"Tabatha Gehling"}},{$unwind:"$VOTES"},{$lookup:{from:"AREA_CODE_STATE",localField:"VOTES.state",foreignField:"state",as:"Docs1"}},{$unwind:"$Docs1"},{$project:{created:"$VOTES.created",state:"$Docs1.state",phone_number:"$VOTES.phone_number",_id:0}}])</t>
  </si>
  <si>
    <t>db.CONTESTANTS.aggregate([{$match:{contestant_name:"Tabatha Gehling"}},{$unwind:"$VOTES"},{$project:{created:"$VOTES.created",state:"$VOTES.state",phone_number:"$VOTES.phone_number",_id:0}}])</t>
  </si>
  <si>
    <t>SELECT T3.Name FROM repair_assignment AS T1 JOIN machine AS T2 ON T1.Machine_ID = T2.Machine_ID JOIN technician AS T3 ON T1.technician_id = T3.technician_id WHERE T2.value_points &gt; 70;</t>
  </si>
  <si>
    <t>db.repair.aggregate([{$unwind:"$repair_assignment"},{$lookup:{from:"machine",localField:"repair_assignment.Machine_ID",foreignField:"Machine_ID",as:"Docs1"}},{$unwind:"$Docs1"},{$lookup:{from:"technician",localField:"repair_assignment.technician_id",foreignField:"technician_id",as:"Docs2"}},{$unwind:"$Docs2"},{$match:{"Docs1.value_points":{$gt:70}}},{$project:{Name:"$Docs2.Name",_id:0}}])</t>
  </si>
  <si>
    <t>What are the names of the technicians that are assigned to repair machines with more point values than 70?</t>
  </si>
  <si>
    <t>List the names of technicians responsible for repairing machines that have value points exceeding 70.</t>
  </si>
  <si>
    <t>SELECT T2.Name FROM technician AS T2 JOIN repair_assignment AS T1 ON T2.technician_id = T1.technician_id JOIN machine AS T3 ON T1.Machine_ID = T3.Machine_ID WHERE T3.value_points &gt; 70</t>
  </si>
  <si>
    <t>db.technician.aggregate([{$lookup:{from:"repair",let:{local_field:"$technician_id"},pipeline:[{$unwind:"$repair_assignment"},{$match:{$expr:{$eq:["$repair_assignment.technician_id","$$local_field"]}}},{$project:{name:"$name",Launch_Date:"$Launch_Date",Notes:"$Notes",technician_id:"$repair_assignment.technician_id",repair_ID:"$repair_assignment.repair_ID",Machine_ID:"$repair_assignment.Machine_ID",_id:0}}],as:"Docs1"}},{$unwind:"$Docs1"},{$lookup:{from:"machine",localField:"Docs1.Machine_ID",foreignField:"Machine_ID",as:"Docs2"}},{$unwind:"$Docs2"},{$match:{"Docs2.value_points":{$gt:70}}},{$project:{Name:1,_id:0}}])</t>
  </si>
  <si>
    <t>Identify the technicians assigned to the maintenance of machines with value points above 70.</t>
  </si>
  <si>
    <t>SELECT t.Name FROM technician t JOIN repair_assignment ra ON t.technician_id = ra.technician_id JOIN machine m ON ra.Machine_ID = m.Machine_ID WHERE m.value_points &gt; 70;</t>
  </si>
  <si>
    <t>Provide the names of technicians who work on machines that hold more than 70 value points.</t>
  </si>
  <si>
    <t>SELECT T2.Name FROM technician AS T2 JOIN repair_assignment AS T1 ON T1.technician_id = T2.technician_id JOIN machine AS T3 ON T1.Machine_ID = T3.Machine_ID WHERE T3.value_points &gt; 70</t>
  </si>
  <si>
    <t>SELECT allergytype FROM Allergy_type GROUP BY allergytype ORDER BY count(*) ASC LIMIT 1</t>
  </si>
  <si>
    <t>SELECT T1.AllergyType FROM Allergy_Type AS T1 JOIN Has_Allergy AS T2 ON T1.Allergy = T2.Allergy GROUP BY T1.AllergyType ORDER BY count(*) ASC LIMIT 1</t>
  </si>
  <si>
    <t>db.Allergy_Type.aggregate([{$unwind:"$Has_Allergy"},{$group:{_id:"$AllergyType",count:{$sum:1}}},{$sort:{count:1}},{$limit:1},{$project:{AllergyType:"$_id",_id:0}}])</t>
  </si>
  <si>
    <t>db.Allergy_Type.aggregate([{$group:{_id:"$AllergyType",count:{$sum:1}}},{$sort:{count:1}},{$limit:1},{$project:{AllergyType:"$_id",_id:0}}])</t>
  </si>
  <si>
    <t>Which allergy type occurs the least among the students?</t>
  </si>
  <si>
    <t>SELECT AllergyType FROM Allergy_Type WHERE Allergy IN (SELECT Allergy FROM Has_Allergy GROUP BY Allergy ORDER BY count(*) ASC LIMIT 1)</t>
  </si>
  <si>
    <t>db.Allergy_Type.aggregate([{$lookup:{from:"Allergy_Type",as:"subquery_results",let:{local_field:"$Allergy"},pipeline:[{$unwind:"$Has_Allergy"},{$group:{_id:"$Has_Allergy.Allergy",count:{$sum:1}}},{$sort:{count:1}},{$project:{Allergy:"$_id",_id:0}},{$match:{$expr:{$eq:["$Allergy","$$local_field"]}}},{$limit:1}]}},{$match:{subquery_results:{$ne:[]}}},{$project:{subquery_results:0}},{$project:{AllergyType:1,_id:0}}])</t>
  </si>
  <si>
    <t>Identify the allergy type that is the least frequently encountered.</t>
  </si>
  <si>
    <t>SELECT AllergyType FROM Allergy_Type JOIN Has_Allergy ON Allergy_Type.Allergy = Has_Allergy.Allergy GROUP BY AllergyType ORDER BY COUNT(*) ASC LIMIT 1</t>
  </si>
  <si>
    <t>SELECT first_name , last_name , hire_date FROM employees WHERE department_id = ( SELECT department_id FROM employees WHERE first_name = 'Clara') AND first_name != 'Clara'</t>
  </si>
  <si>
    <t>SELECT T1.FIRST_NAME, T1.LAST_NAME, T1.HIRE_DATE FROM employees AS T1 JOIN employees AS T2 ON T1.DEPARTMENT_ID = T2.DEPARTMENT_ID WHERE T2.FIRST_NAME != 'Clara' AND T2.LAST_NAME != 'Clara'</t>
  </si>
  <si>
    <t>db.jobs.aggregate([{$unwind:"$employees"},{$match:{"employees.LAST_NAME":{$ne:"Clara"},"employees.FIRST_NAME":{$ne:"Clara"}}},{$project:{FIRST_NAME:"$employees.FIRST_NAME",LAST_NAME:"$employees.LAST_NAME",HIRE_DATE:"$employees.HIRE_DATE",_id:0}}])</t>
  </si>
  <si>
    <t>db.departments.aggregate([{$unwind:"$employees"},{$match:{"employees.FIRST_NAME":"Clara"}},{$lookup:{from:"departments",localField:"DEPARTMENT_ID",foreignField:"DEPARTMENT_ID",as:"Docs1"}},{$unwind:"$Docs1"},{$unwind:"$Docs1.employees"},{$match:{"Docs1.employees.FIRST_NAME":{$ne:"Clara"}}},{$project:{FIRST_NAME:"$Docs1.employees.FIRST_NAME",LAST_NAME:"$Docs1.employees.LAST_NAME",HIRE_DATE:"$Docs1.employees.HIRE_DATE",_id:0}}])</t>
  </si>
  <si>
    <t>What are the first and last names along with hire dates of the employees in the same department as Clara, except for Clara herself?</t>
  </si>
  <si>
    <t>SELECT T1.FIRST_NAME, T1.LAST_NAME, T1.HIRE_DATE FROM employees AS T1 JOIN departments AS T2 ON T1.DEPARTMENT_ID = T2.DEPARTMENT_ID WHERE T2.DEPARTMENT_ID = (SELECT DEPARTMENT_ID FROM employees WHERE FIRST_NAME = 'Clara' AND LAST_NAME = 'Clara') AND (T1.FIRST_NAME != 'Clara' OR T1.LAST_NAME != 'Clara');</t>
  </si>
  <si>
    <t>db.jobs.aggregate([{$unwind:"$employees"},{$lookup:{from:"departments",localField:"employees.DEPARTMENT_ID",foreignField:"DEPARTMENT_ID",as:"Docs1"}},{$unwind:"$Docs1"},{$match:{$or:[{"employees.FIRST_NAME":{$ne:"Clara"}},{"employees.LAST_NAME":{$ne:"Clara"}}]}},{$lookup:{from:"jobs",pipeline:[{$unwind:"$employees"},{$match:{"employees.LAST_NAME":"Clara","employees.FIRST_NAME":"Clara"}},{$project:{"employees.DEPARTMENT_ID":1,_id:0}},{$limit:1}],as:"scalar_subq"}},{$unwind:{path:"$scalar_subq",preserveNullAndEmptyArrays:false}},{$match:{$expr:{$eq:["$DEPARTMENT_ID","$scalar_subq.employees.DEPARTMENT_ID"]}}},{$project:{scalar_subq:0}},{$project:{FIRST_NAME:"$employees.FIRST_NAME",LAST_NAME:"$employees.LAST_NAME",HIRE_DATE:"$employees.HIRE_DATE",_id:0}}])</t>
  </si>
  <si>
    <t>SELECT complaint_status_code FROM complaints GROUP BY complaint_status_code HAVING count(*) &gt; 3</t>
  </si>
  <si>
    <t>SELECT complaint_status_code, COUNT(*) FROM Complaints GROUP BY complaint_status_code HAVING COUNT(*) &gt; 3</t>
  </si>
  <si>
    <t>db.Staff.aggregate([{$unwind:"$Complaints"},{$group:{_id:"$Complaints.complaint_status_code",count:{$sum:1}}},{$match:{count:{$gt:3}}},{$project:{complaint_status_code:"$_id",count:1,_id:0}}])</t>
  </si>
  <si>
    <t>db.Customers.aggregate([{$unwind:"$Complaints"},{$group:{_id:"$Complaints.complaint_status_code",count:{$sum:1}}},{$match:{count:{$gt:3}}},{$project:{complaint_status_code:"$_id",_id:0}}])</t>
  </si>
  <si>
    <t>SELECT count(*) FROM airlines WHERE country = 'Russia'</t>
  </si>
  <si>
    <t>SELECT count(DISTINCT name) FROM airlines WHERE country = 'Russia'</t>
  </si>
  <si>
    <t>db.airlines.aggregate([{$match:{country:"Russia"}},{$group:{_id:null,__distinct_name:{$addToSet:"$name"}}},{$project:{_id:0,count_distinct_name:{$size:"$__distinct_name"}}}])</t>
  </si>
  <si>
    <t>db.airlines.aggregate([{$match:{country:"Russia"}},{$count:"count"}])</t>
  </si>
  <si>
    <t>SELECT TYPE FROM school GROUP BY TYPE HAVING count(*) = 2</t>
  </si>
  <si>
    <t>SELECT Type, COUNT(*) FROM school GROUP BY Type HAVING COUNT(*) = 2</t>
  </si>
  <si>
    <t>db.school.aggregate([{$group:{_id:"$Type",count:{$sum:1}}},{$match:{count:{$eq:2}}},{$project:{Type:"$_id",count:1,_id:0}}])</t>
  </si>
  <si>
    <t>db.school.aggregate([{$group:{_id:"$Type",count:{$sum:1}}},{$match:{count:2}},{$project:{_id:0,Type:"$_id"}}])</t>
  </si>
  <si>
    <t>SELECT count(*) FROM Student WHERE age &gt; 18 AND StuID NOT IN ( SELECT StuID FROM Has_allergy AS T1 JOIN Allergy_Type AS T2 ON T1.Allergy = T2.Allergy WHERE T2.allergytype = 'food' OR T2.allergytype = 'animal')</t>
  </si>
  <si>
    <t>SELECT COUNT(*) FROM Student WHERE Age &gt; 18 AND StuID NOT IN (SELECT StuID FROM Has_Allergy WHERE AllergyType = 'Food' OR AllergyType = 'Animals')</t>
  </si>
  <si>
    <t>db.Student.aggregate([{$match:{Age:{$gt:18}}},{$lookup:{from:"Allergy_Type",as:"subquery_results",let:{local_field:"$StuID"},pipeline:[{$match:{$or:[{AllergyType:"Food"},{AllergyType:"Animals"}]}},{$unwind:"$Has_Allergy"},{$project:{"Has_Allergy.StuID":1,_id:0}},{$match:{$expr:{$eq:["$Has_Allergy.StuID","$$local_field"]}}},{$limit:1}]}},{$match:{subquery_results:{$eq:[]}}},{$project:{subquery_results:0}},{$count:"count"}])</t>
  </si>
  <si>
    <t>db.Student.aggregate([{$match:{Age:{$gt:18}}},{$lookup:{from:"Allergy_Type",localField:"StuID",foreignField:"Has_Allergy.StuID",as:"Docs1"}},{$addFields:{has_food_or_animal_allergy:{$anyElementTrue:{$map:{input:"$Docs1",as:"allergy",in:{$or:[{$eq:["$$allergy.AllergyType","food"]},{$eq:["$$allergy.AllergyType","animal"]}]}}}}}},{$match:{has_food_or_animal_allergy:false}},{$count:"count"}])</t>
  </si>
  <si>
    <t>What is the total count of students older than 18 years without any allergies to food or animals?</t>
  </si>
  <si>
    <t>SELECT count(*) FROM Student WHERE Age &gt; 18 AND StuID NOT IN (SELECT StuID FROM Has_Allergy WHERE AllergyType = 'food' OR AllergyType = 'animals')</t>
  </si>
  <si>
    <t>db.Student.aggregate([{$match:{Age:{$gt:18}}},{$lookup:{from:"Allergy_Type",as:"subquery_results",let:{local_field:"$StuID"},pipeline:[{$match:{$or:[{AllergyType:"food"},{AllergyType:"animals"}]}},{$unwind:"$Has_Allergy"},{$project:{"Has_Allergy.StuID":1,_id:0}},{$match:{$expr:{$eq:["$Has_Allergy.StuID","$$local_field"]}}},{$limit:1}]}},{$match:{subquery_results:{$eq:[]}}},{$project:{subquery_results:0}},{$count:"count"}])</t>
  </si>
  <si>
    <t>SELECT p.product_name FROM Products p JOIN Complaints c ON p.product_id = c.product_id JOIN Customers cust ON c.customer_id = cust.customer_id GROUP BY p.product_name ORDER BY COUNT(c.customer_id) ASC LIMIT 1</t>
  </si>
  <si>
    <t>db.Products.aggregate([{$lookup:{from:"Staff",let:{local_field:"$product_id"},pipeline:[{$unwind:"$Complaints"},{$match:{$expr:{$eq:["$Complaints.product_id","$$local_field"]}}},{$project:{gender:"$gender",first_name:"$first_name",last_name:"$last_name",email_address:"$email_address",phone_number:"$phone_number",complaint_id:"$Complaints.complaint_id",product_id:"$Complaints.product_id",customer_id:"$Complaints.customer_id",complaint_outcome_code:"$Complaints.complaint_outcome_code",complaint_status_code:"$Complaints.complaint_status_code",complaint_type_code:"$Complaints.complaint_type_code",date_complaint_raised:"$Complaints.date_complaint_raised",date_complaint_closed:"$Complaints.date_complaint_closed",staff_id:"$Complaints.staff_id",_id:0}}],as:"Docs1"}},{$unwind:"$Docs1"},{$lookup:{from:"Customers",localField:"Docs1.customer_id",foreignField:"customer_id",as:"Docs2"}},{$unwind:"$Docs2"},{$group:{_id:"$product_name","COUNT(customer_id)":{$sum:{$cond:[{$gt:["$Docs1.customer_id",null]},1,0]}}}},{$sort:{"COUNT(customer_id)":1}},{$limit:1},{$project:{product_name:"$_id",_id:0}}])</t>
  </si>
  <si>
    <t>SELECT T2.Name FROM Grapes AS T1 JOIN WINE AS T2 ON T1.Grape = T2.Grape WHERE T1.Color = 'Red' AND T2.price &gt; 50</t>
  </si>
  <si>
    <t>SELECT Name FROM wine WHERE Grape IN (SELECT Grape FROM grapes WHERE Color = 'red') AND Price &gt; 50</t>
  </si>
  <si>
    <t>db.grapes.aggregate([{$match:{Color:"red"}},{$unwind:"$wine"},{$match:{"wine.Price":{$gt:50}}},{$project:{Name:"$wine.Name",_id:0}}])</t>
  </si>
  <si>
    <t>db.grapes.aggregate([{$match:{Color:"Red"}},{$unwind:"$wine"},{$match:{"wine.Price":{$gt:50}}},{$project:{_id:0,Name:"$wine.Name"}}])</t>
  </si>
  <si>
    <t>SELECT Fname, LName FROM Student WHERE StuID NOT IN (SELECT StuID FROM Has_Allergy)</t>
  </si>
  <si>
    <t>db.Student.aggregate([{$lookup:{from:"Allergy_Type",as:"subquery_results",let:{local_field:"$StuID"},pipeline:[{$unwind:"$Has_Allergy"},{$project:{"Has_Allergy.StuID":1,_id:0}},{$match:{$expr:{$eq:["$Has_Allergy.StuID","$$local_field"]}}},{$limit:1}]}},{$match:{subquery_results:{$eq:[]}}},{$project:{subquery_results:0}},{$project:{Fname:1,LName:1,_id:0}}])</t>
  </si>
  <si>
    <t>Identify students who are free from any allergic conditions.</t>
  </si>
  <si>
    <t>SELECT count(*) FROM Student_Tests_Taken WHERE test_result = 'Fail'</t>
  </si>
  <si>
    <t>SELECT COUNT(*) FROM Student_Tests_Taken WHERE test_result = 'Failure'</t>
  </si>
  <si>
    <t>db.Students.aggregate([{$unwind:"$Student_Course_Enrolment"},{$unwind:"$Student_Course_Enrolment.Student_Tests_Taken"},{$match:{"Student_Course_Enrolment.Student_Tests_Taken.test_result":"Failure"}},{$count:"count"}])</t>
  </si>
  <si>
    <t>db.Subjects.aggregate([{$unwind:"$Courses"},{$unwind:"$Courses.Student_Course_Enrolment"},{$unwind:"$Courses.Student_Course_Enrolment.Student_Tests_Taken"},{$match:{"Courses.Student_Course_Enrolment.Student_Tests_Taken.test_result":"Fail"}},{$group:{_id:null,count:{$sum:1}}},{$project:{_id:0,count:1}}])</t>
  </si>
  <si>
    <t>SELECT headquarters FROM company EXCEPT SELECT headquarters FROM company WHERE main_industry = 'Banking'</t>
  </si>
  <si>
    <t>SELECT Headquarters FROM company WHERE Company_ID NOT IN (SELECT Company_ID FROM company WHERE Main_Industry = 'Banking')</t>
  </si>
  <si>
    <t>db.company.aggregate([{$lookup:{from:"company",as:"subquery_results",let:{local_field:"$Company_ID"},pipeline:[{$match:{Main_Industry:"Banking"}},{$project:{Company_ID:1,_id:0}},{$match:{$expr:{$eq:["$Company_ID","$$local_field"]}}},{$limit:1}]}},{$match:{subquery_results:{$eq:[]}}},{$project:{subquery_results:0}},{$project:{Headquarters:1,_id:0}}])</t>
  </si>
  <si>
    <t>db.company.aggregate([{$group:{_id:"$Headquarters",industries:{$addToSet:"$Main_Industry"}}},{$match:{industries:{$ne:"Banking"}}},{$project:{Headquarters:"$_id",_id:0}}])</t>
  </si>
  <si>
    <t>List all headquarters that are not associated with any companies in the banking sector.</t>
  </si>
  <si>
    <t>SELECT Headquarters FROM company WHERE Company_ID NOT IN (SELECT Company_ID FROM station_company WHERE Company_ID IN (SELECT Company_ID FROM company WHERE Main_Industry = 'Banking'))</t>
  </si>
  <si>
    <t>db.company.aggregate([{$lookup:{from:"company",as:"subquery_results",let:{local_field:"$Company_ID"},pipeline:[{$match:{Main_Industry:"Banking"}},{$unwind:"$station_company"},{$project:{"station_company.Company_ID":1,_id:0}},{$match:{$expr:{$eq:["$station_company.Company_ID","$$local_field"]}}},{$limit:1}]}},{$match:{subquery_results:{$eq:[]}}},{$project:{subquery_results:0}},{$project:{Headquarters:1,_id:0}}])</t>
  </si>
  <si>
    <t>Provide the names of headquarters that do not host companies belonging to the banking industry.</t>
  </si>
  <si>
    <t>SELECT Headquarters FROM company WHERE Main_Industry != 'Banking'</t>
  </si>
  <si>
    <t>db.company.find({Main_Industry:{$ne:"Banking"}},{Headquarters:1,_id:0})</t>
  </si>
  <si>
    <t>Retrieve headquarters which have no companies involved in the banking industry.</t>
  </si>
  <si>
    <t>SELECT DISTINCT state , created FROM votes</t>
  </si>
  <si>
    <t>SELECT state, COUNT(*) FROM VOTES GROUP BY state</t>
  </si>
  <si>
    <t>db.CONTESTANTS.aggregate([{$unwind:"$VOTES"},{$group:{_id:"$VOTES.state",count:{$sum:1}}},{$project:{state:"$_id",count:1,_id:0}}])</t>
  </si>
  <si>
    <t>db.CONTESTANTS.aggregate([{$unwind:"$VOTES"},{$group:{_id:{state:"$VOTES.state",created:"$VOTES.created"}}},{$project:{_id:0,state:"$_id.state",created:"$_id.created"}}])</t>
  </si>
  <si>
    <t>SELECT LOCATION FROM cinema WHERE openning_year = 2010 INTERSECT SELECT LOCATION FROM cinema WHERE openning_year = 2011</t>
  </si>
  <si>
    <t>SELECT Location FROM cinema WHERE Openning_year IN (2010, 2011)</t>
  </si>
  <si>
    <t>db.cinema.find({Openning_year:{$in:[2010,2011]}},{Location:1,_id:0})</t>
  </si>
  <si>
    <t>db.cinema.aggregate([{$group:{_id:"$Location",opening_years:{$addToSet:"$Openning_year"}}},{$match:{opening_years:{$all:[2010,2011]}}},{$project:{_id:0,Location:"$_id"}}])</t>
  </si>
  <si>
    <t>SELECT t1.name FROM driver AS t1 JOIN school_bus AS t2 ON t1.driver_id = t2.driver_id ORDER BY years_working DESC LIMIT 1</t>
  </si>
  <si>
    <t>SELECT Name FROM driver WHERE Driver_ID IN (SELECT Driver_ID FROM school_bus ORDER BY Years_Working DESC LIMIT 1)</t>
  </si>
  <si>
    <t>db.driver.aggregate([{$lookup:{from:"driver",as:"subquery_results",let:{local_field:"$Driver_ID"},pipeline:[{$unwind:"$school_bus"},{$sort:{"school_bus.Years_Working":-1}},{$project:{"school_bus.Driver_ID":1,_id:0}},{$match:{$expr:{$eq:["$school_bus.Driver_ID","$$local_field"]}}},{$limit:1}]}},{$match:{subquery_results:{$ne:[]}}},{$project:{subquery_results:0}},{$project:{Name:1,_id:0}}])</t>
  </si>
  <si>
    <t>db.driver.aggregate([{$unwind:"$school_bus"},{$sort:{"school_bus.Years_Working":-1}},{$limit:1},{$project:{Name:1,_id:0}}])</t>
  </si>
  <si>
    <t>SELECT DISTINCT department_id FROM employees GROUP BY department_id , manager_id HAVING COUNT(employee_id) &gt;= 4</t>
  </si>
  <si>
    <t>SELECT DEPARTMENT_ID FROM employees GROUP BY DEPARTMENT_ID, MANAGER_ID HAVING COUNT(EMPLOYEE_ID) &gt;= 4</t>
  </si>
  <si>
    <t>db.jobs.aggregate([{$unwind:"$employees"},{$group:{_id:{employees_DEPARTMENT_ID:"$employees.DEPARTMENT_ID",employees_MANAGER_ID:"$employees.MANAGER_ID"},"COUNT(EMPLOYEE_ID)":{$sum:1}}},{$match:{"COUNT(EMPLOYEE_ID)":{$gte:4}}},{$project:{DEPARTMENT_ID:"$_id.employees_DEPARTMENT_ID",_id:0}}])</t>
  </si>
  <si>
    <t>db.departments.aggregate([{$unwind:"$employees"},{$group:{_id:{DEPARTMENT_ID:"$DEPARTMENT_ID",MANAGER_ID:"$employees.MANAGER_ID"},count:{$sum:1}}},{$match:{count:{$gte:4}}},{$group:{_id:"$_id.DEPARTMENT_ID"}},{$project:{DEPARTMENT_ID:"$_id",_id:0}}])</t>
  </si>
  <si>
    <t>SELECT T1.Team , T2.Location FROM player AS T1 JOIN school AS T2 ON T1.School_ID = T2.School_ID</t>
  </si>
  <si>
    <t>SELECT Player.Player, Player.Team, School.Location FROM Player JOIN School ON Player.School_ID = School.School_ID;</t>
  </si>
  <si>
    <t>db.school.aggregate([{$unwind:"$player"},{$project:{Player:"$player.Player",Team:"$player.Team",Location:1,_id:0}}])</t>
  </si>
  <si>
    <t>db.school.aggregate([{$unwind:"$player"},{$project:{Team:"$player.Team",Location:"$Location",_id:0}}])</t>
  </si>
  <si>
    <t>What team does each player play for, and where is their school located?</t>
  </si>
  <si>
    <t>SELECT T1.Player, T1.Team, T2.Location FROM player AS T1 JOIN school AS T2 ON T1.School_ID = T2.School_ID</t>
  </si>
  <si>
    <t>Show the team affiliation of every player together with the location of the school they belong to.</t>
  </si>
  <si>
    <t>SELECT T3.Name FROM repair_assignment AS T1 JOIN machine AS T2 ON T1.Machine_ID = T2.Machine_ID JOIN technician AS T3 ON T1.technician_id = T3.technician_id ORDER BY T2.quality_rank;</t>
  </si>
  <si>
    <t>db.repair.aggregate([{$unwind:"$repair_assignment"},{$lookup:{from:"machine",localField:"repair_assignment.Machine_ID",foreignField:"Machine_ID",as:"Docs1"}},{$unwind:"$Docs1"},{$lookup:{from:"technician",localField:"repair_assignment.technician_id",foreignField:"technician_id",as:"Docs2"}},{$unwind:"$Docs2"},{$sort:{"Docs1.quality_rank":1}},{$project:{Name:"$Docs2.Name",_id:0}}])</t>
  </si>
  <si>
    <t>What are the names of the technicians by ascending order of quality rank for the machine they are assigned?</t>
  </si>
  <si>
    <t>List the names of technicians sorted by the ascending quality rank of the machines they handle.</t>
  </si>
  <si>
    <t>SELECT T3.Name FROM repair_assignment AS T1 JOIN machine AS T2 ON T1.Machine_ID = T2.Machine_ID JOIN technician AS T3 ON T1.technician_id = T3.technician_id ORDER BY T2.quality_rank ASC;</t>
  </si>
  <si>
    <t>Provide the names of technicians ordered by the quality rank of their assigned machines, from lowest to highest.</t>
  </si>
  <si>
    <t>Display the names of technicians in the order of increasing quality rank for the machines they are responsible for.</t>
  </si>
  <si>
    <t>SELECT count(*) FROM Ref_budget_codes</t>
  </si>
  <si>
    <t>SELECT count(DISTINCT Budget_Type_Code) FROM Ref_Budget_Codes</t>
  </si>
  <si>
    <t>db.Ref_Budget_Codes.aggregate([{$group:{_id:null,__distinct_Budget_Type_Code:{$addToSet:"$Budget_Type_Code"}}},{$project:{_id:0,count_distinct_Budget_Type_Code:{$size:"$__distinct_Budget_Type_Code"}}}])</t>
  </si>
  <si>
    <t>db.Ref_Budget_Codes.aggregate([{$group:{_id:null,count:{$sum:1}}},{$project:{_id:0,count:1}}])</t>
  </si>
  <si>
    <t>SELECT Country FROM mountain WHERE Height &gt; 5600 INTERSECT SELECT Country FROM mountain WHERE Height &lt; 5200</t>
  </si>
  <si>
    <t>SELECT Country FROM mountain WHERE Height &gt; 5600 UNION SELECT Country FROM mountain WHERE Height &lt; 5200</t>
  </si>
  <si>
    <t>db.mountain.aggregate([{$match:{Height:{$gt:5600}}},{$project:{Country:1,_id:0}},{$unionWith:{coll:"mountain",pipeline:[{$match:{Height:{$lt:5200}}},{$project:{Country:1,_id:0}}]}},{$group:{_id:{Country:"$Country"}}},{$project:{_id:0,Country:"$_id.Country"}}])</t>
  </si>
  <si>
    <t>db.mountain.aggregate([{$match:{$or:[{Height:{$gt:5600}},{Height:{$lt:5200}}]}},{$group:{_id:"$Country",count:{$sum:1},heights:{$push:"$Height"}}},{$match:{$and:[{heights:{$elemMatch:{$gt:5600}}},{heights:{$elemMatch:{$lt:5200}}}]}},{$project:{Country:"$_id",_id:0}}])</t>
  </si>
  <si>
    <t>List the countries that possess mountains taller than 5600 meters and shorter than 5200 meters.</t>
  </si>
  <si>
    <t>SELECT Country FROM mountain WHERE Height &gt; 5600 AND Height &lt; 5200</t>
  </si>
  <si>
    <t>db.mountain.find({Height:{$lt:5200,$gt:5600}},{Country:1,_id:0})</t>
  </si>
  <si>
    <t>SELECT allergytype FROM Allergy_type WHERE allergy = 'Cat'</t>
  </si>
  <si>
    <t>SELECT AllergyType FROM Allergy_Type WHERE Allergy = 'cats'</t>
  </si>
  <si>
    <t>db.Allergy_Type.find({Allergy:"cats"},{AllergyType:1,_id:0})</t>
  </si>
  <si>
    <t>db.Allergy_Type.aggregate([{$match:{Allergy:"Cat"}},{$project:{AllergyType:1,_id:0}}])</t>
  </si>
  <si>
    <t>Can you tell me the allergy type for a cat allergy?</t>
  </si>
  <si>
    <t>SELECT AllergyType FROM Allergy_Type WHERE Allergy = 'cat'</t>
  </si>
  <si>
    <t>db.Allergy_Type.find({Allergy:"cat"},{AllergyType:1,_id:0})</t>
  </si>
  <si>
    <t>What allergy classification is associated with cats?</t>
  </si>
  <si>
    <t>SELECT count(DISTINCT school_id) FROM basketball_match</t>
  </si>
  <si>
    <t>SELECT count(*) FROM university WHERE School_ID IN (SELECT DISTINCT School_ID FROM basketball_match)</t>
  </si>
  <si>
    <t>db.university.aggregate([{$lookup:{from:"university",as:"subquery_results",let:{local_field:"$School_ID"},pipeline:[{$unwind:"$basketball_match"},{$group:{_id:"$basketball_match.School_ID"}},{$project:{_id:0,School_ID:"$_id"}},{$match:{$expr:{$eq:["$School_ID","$$local_field"]}}},{$limit:1}]}},{$match:{subquery_results:{$ne:[]}}},{$project:{subquery_results:0}},{$count:"count"}])</t>
  </si>
  <si>
    <t>db.university.aggregate([{$unwind:"$basketball_match"},{$group:{_id:"$School_ID"}},{$count:"count_DISTINCT_school_id"}])</t>
  </si>
  <si>
    <t>SELECT Room FROM FACULTY WHERE "Rank" = 'Professor' AND Building = 'NEB'</t>
  </si>
  <si>
    <t>SELECT Room FROM Faculty WHERE Building = 'NEB';</t>
  </si>
  <si>
    <t>db.Faculty.find({Building:"NEB"},{Room:1,_id:0})</t>
  </si>
  <si>
    <t>db.Faculty.find({Rank:"Professor",Building:"NEB"},{Room:1,_id:0})</t>
  </si>
  <si>
    <t>Identify the room numbers for professors residing in the NEB building.</t>
  </si>
  <si>
    <t>SELECT Room FROM Faculty WHERE Building = 'NEB'</t>
  </si>
  <si>
    <t>SELECT t2.Team_Name FROM university AS t1 JOIN basketball_match AS t2 ON t1.School_ID = t2.School_ID WHERE t1.Enrollment &lt; (SELECT AVG(Enrollment) FROM university)</t>
  </si>
  <si>
    <t>db.university.aggregate([{$unwind:"$basketball_match"},{$lookup:{from:"university",pipeline:[{$group:{_id:null,col1:{$avg:"$Enrollment"}}},{$project:{_id:0,col1:1}},{$limit:1}],as:"scalar_subq"}},{$unwind:{path:"$scalar_subq",preserveNullAndEmptyArrays:false}},{$match:{$expr:{$lt:["$Enrollment","$scalar_subq.col1"]}}},{$project:{scalar_subq:0}},{$project:{Team_Name:"$basketball_match.Team_Name",_id:0}}])</t>
  </si>
  <si>
    <t>What are the names of teams from universities that have a below average enrollment?</t>
  </si>
  <si>
    <t>List the names of teams representing universities with enrollments that are less than the average.</t>
  </si>
  <si>
    <t>SELECT Team_Name FROM basketball_match WHERE School_ID IN (SELECT School_ID FROM university WHERE Enrollment &lt; (SELECT AVG(Enrollment) FROM university))</t>
  </si>
  <si>
    <t>db.university.aggregate([{$unwind:"$basketball_match"},{$lookup:{from:"university",as:"subquery_results",let:{local_field:"$basketball_match.School_ID"},pipeline:[{$lookup:{from:"university",pipeline:[{$group:{_id:null,col1:{$avg:"$Enrollment"}}},{$project:{_id:0,col1:1}},{$limit:1}],as:"scalar_subq"}},{$unwind:{path:"$scalar_subq",preserveNullAndEmptyArrays:false}},{$match:{$expr:{$lt:["$Enrollment","$scalar_subq.col1"]}}},{$project:{scalar_subq:0}},{$project:{School_ID:1,_id:0}},{$match:{$expr:{$eq:["$School_ID","$$local_field"]}}},{$limit:1}]}},{$match:{subquery_results:{$ne:[]}}},{$project:{subquery_results:0}},{$project:{Team_Name:"$basketball_match.Team_Name",_id:0}}])</t>
  </si>
  <si>
    <t>Identify the team names from universities whose student enrollment is below the average size.</t>
  </si>
  <si>
    <t>SELECT t1.Team_Name FROM basketball_match AS t1 JOIN university AS t2 ON t1.School_ID = t2.School_ID WHERE t2.Enrollment &lt; (SELECT AVG(Enrollment) FROM university)</t>
  </si>
  <si>
    <t>What are the team names associated with universities that have an enrollment figure smaller than the average?</t>
  </si>
  <si>
    <t>SELECT T1.country , T1.name , count(*) FROM airlines AS T1 JOIN routes AS T2 ON T1.alid = T2.alid GROUP BY T1.country , T1.name</t>
  </si>
  <si>
    <t>SELECT T3.name, T2.country, COUNT(*) FROM routes AS T1 JOIN airlines AS T3 ON T1.alid = T3.alid JOIN airports AS T2 ON T1.dst_apid = T2.apid GROUP BY T3.name, T2.country</t>
  </si>
  <si>
    <t>db.airlines.aggregate([{$unwind:"$routes"},{$lookup:{from:"airports",localField:"routes.dst_apid",foreignField:"apid",as:"Docs1"}},{$unwind:"$Docs1"},{$group:{_id:{name:"$name",Docs1_country:"$Docs1.country"},count:{$sum:1}}},{$project:{name:"$_id.name",country:"$_id.Docs1_country",count:1,_id:0}}])</t>
  </si>
  <si>
    <t>db.airlines.aggregate([{$unwind:"$routes"},{$group:{_id:{country:"$country",name:"$name"},count:{$sum:1}}},{$project:{country:"$_id.country",name:"$_id.name",count:1,_id:0}}])</t>
  </si>
  <si>
    <t>SELECT T2.Lname FROM DEPARTMENT AS T1 JOIN FACULTY AS T2 ON T1.DNO = T3.DNO JOIN MEMBER_OF AS T3 ON T2.FacID = T3.FacID WHERE T1.DName = 'Computer Science'</t>
  </si>
  <si>
    <t>SELECT T2.Lname FROM DEPARTMENT AS T1 JOIN MEMBER_OF AS T3 ON T1.DNO = T3.DNO JOIN FACULTY AS T2 ON T3.FacID = T2.FacID WHERE T1.DName = 'Computer Science'</t>
  </si>
  <si>
    <t>db.Department.aggregate([{$match:{DName:"Computer Science"}},{$unwind:"$Member_of"},{$lookup:{from:"Faculty",localField:"Member_of.FacID",foreignField:"FacID",as:"Docs1"}},{$unwind:"$Docs1"},{$project:{Lname:"$Docs1.Lname",_id:0}}])</t>
  </si>
  <si>
    <t>db.Faculty.aggregate([{$lookup:{from:"Department",localField:"FacID",foreignField:"Member_of.FacID",as:"Docs1"}},{$unwind:"$Docs1"},{$unwind:"$Docs1.Member_of"},{$match:{"Docs1.DName":"Computer Science"}},{$project:{Lname:1,_id:0}}])</t>
  </si>
  <si>
    <t>What are the last names of faculty who are part of the computer science department?</t>
  </si>
  <si>
    <t>List the surnames of faculty members affiliated with the Computer Science department.</t>
  </si>
  <si>
    <t>SELECT Lname FROM Faculty AS f JOIN Member_of AS m ON f.FacID = m.FacID JOIN Department AS d ON m.DNO = d.DNO WHERE d.DName = 'Computer Science'</t>
  </si>
  <si>
    <t>db.Faculty.aggregate([{$lookup:{from:"Department",let:{local_field:"$FacID"},pipeline:[{$unwind:"$Member_of"},{$match:{$expr:{$eq:["$Member_of.FacID","$$local_field"]}}},{$project:{Division:"$Division",DName:"$DName",Room:"$Room",Building:"$Building",DPhone:"$DPhone",FacID:"$Member_of.FacID",DNO:"$Member_of.DNO",Appt_Type:"$Member_of.Appt_Type",_id:0}}],as:"Docs1"}},{$unwind:"$Docs1"},{$lookup:{from:"Department",localField:"Docs1.DNO",foreignField:"DNO",as:"Docs2"}},{$unwind:"$Docs2"},{$match:{"Docs2.DName":"Computer Science"}},{$project:{Lname:1,_id:0}}])</t>
  </si>
  <si>
    <t>What are the surnames of faculty who belong to the Computer Science department?</t>
  </si>
  <si>
    <t>SELECT Lname FROM Faculty JOIN Member_of ON Faculty.FacID = Member_of.FacID JOIN Department ON Member_of.DNO = Department.DNO WHERE Department.DName = 'Computer Science'</t>
  </si>
  <si>
    <t>Identify the last names of instructors who are part of the Computer Science department.</t>
  </si>
  <si>
    <t>SELECT T2.Lname FROM Department AS T1 JOIN Faculty AS T2 ON T1.DNO = T2.Building JOIN Member_of AS T3 ON T2.FacID = T3.FacID WHERE T1.DName = 'Computer Science'</t>
  </si>
  <si>
    <t>db.Department.aggregate([{$match:{DName:"Computer Science"}},{$unwind:"$Member_of"},{$lookup:{from:"Faculty",localField:"DNO",foreignField:"Building",as:"Docs1"}},{$unwind:"$Docs1"},{$project:{Lname:"$Docs1.Lname",_id:0}}])</t>
  </si>
  <si>
    <t>SELECT major , count(*) FROM Student GROUP BY major</t>
  </si>
  <si>
    <t>db.Student.aggregate([{$group:{_id:"$Major",count:{$sum:1}}},{$project:{Major:"$_id",count:1,_id:0}}])</t>
  </si>
  <si>
    <t>SELECT first_name , last_name , salary FROM employees WHERE salary &lt; 6000</t>
  </si>
  <si>
    <t>SELECT CONCAT(FIRST_NAME, ' ', LAST_NAME) AS full_name, SALARY FROM employees WHERE SALARY &lt; 6000;</t>
  </si>
  <si>
    <t>db.jobs.aggregate([{$unwind:"$employees"},{$match:{"employees.SALARY":{$lt:6000}}},{$project:{full_name:{$concat:["$employees.FIRST_NAME"," ","$employees.LAST_NAME"]},SALARY:"$employees.SALARY",_id:0}}])</t>
  </si>
  <si>
    <t>db.departments.aggregate([{$unwind:"$employees"},{$match:{"employees.SALARY":{$lt:6000}}},{$project:{FIRST_NAME:"$employees.FIRST_NAME",LAST_NAME:"$employees.LAST_NAME",SALARY:"$employees.SALARY",_id:0}}])</t>
  </si>
  <si>
    <t>SELECT party FROM driver WHERE home_city = 'Hartford' AND age &gt; 40</t>
  </si>
  <si>
    <t>SELECT DISTINCT Party FROM driver WHERE Home_city = 'Hartford' AND Age &gt; 40</t>
  </si>
  <si>
    <t>db.driver.distinct("Party",{Age:{$gt:40},Home_city:"Hartford"})</t>
  </si>
  <si>
    <t>db.driver.find({Home_city:"Hartford",Age:{$gt:40}},{Party:1,_id:0})</t>
  </si>
  <si>
    <t>SELECT DISTINCT LOCATION FROM cinema</t>
  </si>
  <si>
    <t>SELECT Location FROM cinema;</t>
  </si>
  <si>
    <t>db.cinema.find({},{Location:1,_id:0})</t>
  </si>
  <si>
    <t>db.cinema.aggregate([{$group:{_id:"$Location"}},{$project:{Location:"$_id",_id:0}}])</t>
  </si>
  <si>
    <t>SELECT Software_Platform FROM device GROUP BY Software_Platform ORDER BY COUNT(*) DESC</t>
  </si>
  <si>
    <t>SELECT Software_Platform, COUNT(*) AS Occurrences FROM device GROUP BY Software_Platform ORDER BY Occurrences DESC</t>
  </si>
  <si>
    <t>db.device.aggregate([{$group:{_id:"$Software_Platform",count:{$sum:1}}},{$sort:{count:-1}},{$project:{Software_Platform:"$_id",count:1,_id:0}}])</t>
  </si>
  <si>
    <t>db.device.aggregate([{$group:{_id:"$Software_Platform",count:{$sum:1}}},{$sort:{count:-1}},{$project:{Software_Platform:"$_id",_id:0}}])</t>
  </si>
  <si>
    <t>What software platforms are available for devices, listed from most to least frequent?</t>
  </si>
  <si>
    <t>SELECT Software_Platform, COUNT(*) AS Frequency FROM device GROUP BY Software_Platform ORDER BY Frequency DESC</t>
  </si>
  <si>
    <t>Show me the software platforms of the devices arranged by their count in descending order.</t>
  </si>
  <si>
    <t>SELECT Software_Platform, COUNT(*) FROM device GROUP BY Software_Platform ORDER BY COUNT(*) DESC</t>
  </si>
  <si>
    <t>SELECT count(*) FROM climber</t>
  </si>
  <si>
    <t>SELECT COUNT(DISTINCT Climber_ID) FROM climber</t>
  </si>
  <si>
    <t>db.mountain.aggregate([{$unwind:"$climber"},{$group:{_id:null,__distinct_Climber_ID:{$addToSet:"$climber.Climber_ID"}}},{$project:{_id:0,count_distinct_Climber_ID:{$size:"$__distinct_Climber_ID"}}}])</t>
  </si>
  <si>
    <t>db.mountain.aggregate([{$unwind:"$climber"},{$group:{_id:"$climber.Climber_ID"}},{$count:"count"}])</t>
  </si>
  <si>
    <t>SELECT school FROM university WHERE founded &gt; 1850 OR affiliation = 'Public'</t>
  </si>
  <si>
    <t>SELECT School FROM university WHERE Founded &lt; 1850 OR Affiliation = 'Public'</t>
  </si>
  <si>
    <t>db.university.find({$or:[{Founded:{$lt:1850}},{Affiliation:"Public"}]},{School:1,_id:0})</t>
  </si>
  <si>
    <t>db.university.find({$or:[{Founded:{$gt:1850}},{Affiliation:"Public"}]},{School:1,_id:0})</t>
  </si>
  <si>
    <t>List the universities that were established after 1850 or are publicly funded.</t>
  </si>
  <si>
    <t>SELECT School FROM university WHERE Founded &gt; 1850 OR Affiliation = 'Publicly funded'</t>
  </si>
  <si>
    <t>db.university.find({$or:[{Founded:{$gt:1850}},{Affiliation:"Publicly funded"}]},{School:1,_id:0})</t>
  </si>
  <si>
    <t>SELECT DISTINCT LName FROM Student WHERE StuID IN (SELECT President_Vote FROM Voting_record) AND Advisor = 8741;</t>
  </si>
  <si>
    <t>db.Student.aggregate([{$match:{Advisor:8741}},{$lookup:{from:"Student",as:"subquery_results",let:{local_field:"$StuID"},pipeline:[{$unwind:"$Voting_record"},{$project:{President_Vote:1,_id:0}},{$match:{$expr:{$eq:["$President_Vote","$$local_field"]}}},{$limit:1}]}},{$match:{subquery_results:{$ne:[]}}},{$project:{subquery_results:0}},{$group:{_id:"$LName"}},{$project:{_id:0,LName:"$_id"}}])</t>
  </si>
  <si>
    <t>What are the distinct last names of the students who have president votes and have 8741 as the advisor?</t>
  </si>
  <si>
    <t>SELECT DISTINCT LName FROM Student WHERE StuID IN (SELECT StuID FROM Voting_record WHERE President_Vote = 8741) AND Advisor = 8741;</t>
  </si>
  <si>
    <t>db.Student.aggregate([{$match:{Advisor:8741}},{$lookup:{from:"Student",as:"subquery_results",let:{local_field:"$StuID"},pipeline:[{$match:{President_Vote:8741}},{$unwind:"$Voting_record"},{$project:{StuID:1,_id:0}},{$match:{$expr:{$eq:["$StuID","$$local_field"]}}},{$limit:1}]}},{$match:{subquery_results:{$ne:[]}}},{$project:{subquery_results:0}},{$group:{_id:"$LName"}},{$project:{_id:0,LName:"$_id"}}])</t>
  </si>
  <si>
    <t>Retrieve the unique last names of students who voted for president and are assigned to advisor 8741.</t>
  </si>
  <si>
    <t>SELECT DISTINCT S.LName FROM Student S JOIN Voting_record V ON S.StuID = V.StuID WHERE V.President_Vote = 8741</t>
  </si>
  <si>
    <t>db.Student.aggregate([{$match:{President_Vote:8741}},{$unwind:"$Voting_record"},{$group:{_id:"$LName"}},{$project:{_id:0,LName:"$_id"}}])</t>
  </si>
  <si>
    <t>List the distinct last names of all students who participated in the presidential election and whose advisor ID is 8741.</t>
  </si>
  <si>
    <t>SELECT DISTINCT LName FROM Student AS S JOIN Voting_record AS V ON S.StuID = V.StuID WHERE V.President_Vote = 8741 AND S.Advisor = 8741;</t>
  </si>
  <si>
    <t>db.Student.aggregate([{$match:{Advisor:8741,President_Vote:8741}},{$unwind:"$Voting_record"},{$group:{_id:"$LName"}},{$project:{_id:0,LName:"$_id"}}])</t>
  </si>
  <si>
    <t>What are the unique last names of students with president votes under advisor number 8741?</t>
  </si>
  <si>
    <t>SELECT DISTINCT LName FROM Student WHERE StuID IN (SELECT StuID FROM Voting_record WHERE President_Vote = 8741)</t>
  </si>
  <si>
    <t>db.Student.aggregate([{$lookup:{from:"Student",as:"subquery_results",let:{local_field:"$StuID"},pipeline:[{$match:{President_Vote:8741}},{$unwind:"$Voting_record"},{$project:{StuID:1,_id:0}},{$match:{$expr:{$eq:["$StuID","$$local_field"]}}},{$limit:1}]}},{$match:{subquery_results:{$ne:[]}}},{$project:{subquery_results:0}},{$group:{_id:"$LName"}},{$project:{_id:0,LName:"$_id"}}])</t>
  </si>
  <si>
    <t>SELECT team_name FROM basketball_match ORDER BY All_Home DESC</t>
  </si>
  <si>
    <t>SELECT Team_Name, ACC_Home FROM basketball_match ORDER BY ACC_Home DESC</t>
  </si>
  <si>
    <t>db.university.aggregate([{$unwind:"$basketball_match"},{$project:{Team_Name:"$basketball_match.Team_Name",ACC_Home:"$basketball_match.ACC_Home",_id:0}},{$sort:{ACC_Home:-1}}])</t>
  </si>
  <si>
    <t>db.university.aggregate([{$unwind:"$basketball_match"},{$sort:{"basketball_match.All_Home":-1}},{$project:{_id:0,Team_Name:"$basketball_match.Team_Name"}}])</t>
  </si>
  <si>
    <t>SELECT T1.name , T2.alid FROM airlines AS T1 JOIN routes AS T2 ON T1.alid = T2.alid GROUP BY T2.alid ORDER BY count(*) DESC LIMIT 10</t>
  </si>
  <si>
    <t>SELECT T1.name, COUNT(T2.rid) AS route_count FROM airlines AS T1 JOIN routes AS T2 ON T1.alid = T2.alid GROUP BY T1.name ORDER BY route_count DESC LIMIT 10;</t>
  </si>
  <si>
    <t>db.airlines.aggregate([{$unwind:"$routes"},{$group:{_id:"$name",count:{$sum:1}}},{$sort:{count:-1}},{$limit:10},{$project:{name:"$_id",count:1,_id:0}}])</t>
  </si>
  <si>
    <t>db.airlines.aggregate([{$unwind:"$routes"},{$group:{_id:{alid:"$alid",name:"$name"},routeCount:{$sum:1}}},{$sort:{routeCount:-1}},{$limit:10},{$project:{_id:0,name:"$_id.name",alid:"$_id.alid"}}])</t>
  </si>
  <si>
    <t>List the names of the 10 airlines with the highest number of routes.</t>
  </si>
  <si>
    <t>SELECT T2.name FROM airlines AS T2 JOIN routes AS T1 ON T2.alid = T1.alid GROUP BY T1.alid ORDER BY COUNT(*) DESC LIMIT 10;</t>
  </si>
  <si>
    <t>db.airlines.aggregate([{$unwind:"$routes"},{$group:{_id:"$routes.alid",count:{$sum:1},name:{$min:"$name"}}},{$sort:{count:-1}},{$limit:10},{$project:{name:1,_id:0}}])</t>
  </si>
  <si>
    <t>What are the names of the top 10 airlines based on the number of routes they operate?</t>
  </si>
  <si>
    <t>SELECT name, COUNT(*) AS num_routes FROM airlines AS T1 JOIN routes AS T2 ON T1.alid = T2.alid GROUP BY name ORDER BY num_routes DESC LIMIT 10;</t>
  </si>
  <si>
    <t>SELECT Name FROM wine WHERE Score &gt; 90;</t>
  </si>
  <si>
    <t>db.appellations.aggregate([{$unwind:"$wine"},{$match:{"wine.Score":{$gt:90}}},{$project:{Name:"$wine.Name",_id:0}}])</t>
  </si>
  <si>
    <t>What are the names of wines with scores higher than 90?</t>
  </si>
  <si>
    <t>SELECT Name FROM wine WHERE Score &gt; 90</t>
  </si>
  <si>
    <t>Provide the names of all wines with scores that exceed 90.</t>
  </si>
  <si>
    <t>SELECT first_name , last_name FROM employees WHERE department_id = 70 OR department_id = 90</t>
  </si>
  <si>
    <t>SELECT CONCAT(first_name, ' ', last_name) AS full_name FROM employees WHERE department_id = 70 OR department_id = 90</t>
  </si>
  <si>
    <t>db.jobs.aggregate([{$unwind:"$employees"},{$match:{$or:[{"employees.DEPARTMENT_ID":70},{"employees.DEPARTMENT_ID":90}]}},{$project:{full_name:{$concat:["$employees.FIRST_NAME"," ","$employees.LAST_NAME"]},_id:0}}])</t>
  </si>
  <si>
    <t>db.departments.aggregate([{$match:{DEPARTMENT_ID:{$in:[70,90]}}},{$unwind:"$employees"},{$project:{FIRST_NAME:"$employees.FIRST_NAME",LAST_NAME:"$employees.LAST_NAME",_id:0}}])</t>
  </si>
  <si>
    <t>SELECT t2.team_name , t2.ACC_Regular_Season FROM university AS t1 JOIN basketball_match AS t2 ON t1.school_id = t2.school_id ORDER BY t1.founded LIMIT 1</t>
  </si>
  <si>
    <t>SELECT t2.Team_Name, t2.ACC_Regular_Season FROM university AS t1 JOIN basketball_match AS t2 ON t1.School_ID = t2.School_ID ORDER BY t1.Founded DESC LIMIT 1</t>
  </si>
  <si>
    <t>db.university.aggregate([{$unwind:"$basketball_match"},{$sort:{Founded:-1}},{$limit:1},{$project:{Team_Name:"$basketball_match.Team_Name",ACC_Regular_Season:"$basketball_match.ACC_Regular_Season",_id:0}}])</t>
  </si>
  <si>
    <t>db.university.aggregate([{$sort:{Founded:1}},{$limit:1},{$unwind:"$basketball_match"},{$project:{Team_Name:"$basketball_match.Team_Name",ACC_Regular_Season:"$basketball_match.ACC_Regular_Season",_id:0}}])</t>
  </si>
  <si>
    <t>What is the name of the team and their ACC regular season performance for the oldest founded school?</t>
  </si>
  <si>
    <t>SELECT Team_Name, ACC_Regular_Season FROM basketball_match JOIN university ON basketball_match.School_ID = university.School_ID WHERE Founded = (SELECT MAX(Founded) FROM university)</t>
  </si>
  <si>
    <t>db.university.aggregate([{$unwind:"$basketball_match"},{$lookup:{from:"university",pipeline:[{$group:{_id:null,col1:{$max:"$Founded"}}},{$project:{_id:0,col1:1}},{$limit:1}],as:"scalar_subq"}},{$unwind:{path:"$scalar_subq",preserveNullAndEmptyArrays:false}},{$match:{$expr:{$eq:["$Founded","$scalar_subq.col1"]}}},{$project:{scalar_subq:0}},{$project:{Team_Name:"$basketball_match.Team_Name",ACC_Regular_Season:"$basketball_match.ACC_Regular_Season",_id:0}}])</t>
  </si>
  <si>
    <t>SELECT avg(T2.gradepoint) FROM ENROLLED_IN AS T1 JOIN GRADECONVERSION AS T2 ON T1.Grade = T2.lettergrade JOIN STUDENT AS T3 ON T1.StuID = T3.StuID WHERE T3.LName = 'Smith'</t>
  </si>
  <si>
    <t>SELECT AVG(GC.gradepoint) AS mean_grade_point FROM Student AS S JOIN Enrolled_in AS EI ON S.StuID = EI.StuID JOIN Gradeconversion AS GC ON EI.Grade = GC.lettergrade WHERE S.LName = 'Smith'</t>
  </si>
  <si>
    <t>db.Student.aggregate([{$match:{LName:"Smith"}},{$unwind:"$Enrolled_in"},{$lookup:{from:"Gradeconversion",localField:"Enrolled_in.Grade",foreignField:"lettergrade",as:"Docs1"}},{$unwind:"$Docs1"},{$group:{_id:null,mean_grade_point:{$avg:"$Docs1.gradepoint"}}},{$project:{_id:0,mean_grade_point:1}}])</t>
  </si>
  <si>
    <t>db.Student.aggregate([{$match:{LName:"Smith"}},{$unwind:"$Enrolled_in"},{$lookup:{from:"Gradeconversion",localField:"Enrolled_in.Grade",foreignField:"lettergrade",as:"Docs1"}},{$unwind:"$Docs1"},{$group:{_id:"$LName",avg_gradepoint:{$avg:"$Docs1.gradepoint"}}},{$project:{_id:0,avg_gradepoint:1}}])</t>
  </si>
  <si>
    <t>Calculate the average grade point associated with students who have Smith as their last name.</t>
  </si>
  <si>
    <t>SELECT avg(T4.gradepoint) FROM Student AS T1 JOIN Minor_in AS T2 ON T1.StuID = T2.StuID JOIN Department AS T3 ON T2.DNO = T3.DNO JOIN Enrolled_in AS T4 ON T1.StuID = T4.StuID JOIN Gradeconversion AS T5 ON T4.Grade = T5.lettergrade WHERE T1.LName = 'Smith'</t>
  </si>
  <si>
    <t>db.Student.aggregate([{$match:{LName:"Smith"}},{$lookup:{from:"Department",let:{local_field:"$StuID"},pipeline:[{$unwind:"$Minor_in"},{$match:{$expr:{$eq:["$Minor_in.StuID","$$local_field"]}}},{$project:{Division:"$Division",DName:"$DName",Room:"$Room",Building:"$Building",DPhone:"$DPhone",StuID:"$Minor_in.StuID",DNO:"$Minor_in.DNO",_id:0}}],as:"Docs1"}},{$unwind:"$Docs1"},{$lookup:{from:"Department",localField:"Docs1.DNO",foreignField:"DNO",as:"Docs2"}},{$unwind:"$Docs2"},{$lookup:{from:"Gradeconversion",let:{local_field:"$StuID"},pipeline:[{$unwind:"$Enrolled_in"},{$match:{$expr:{$eq:["$Enrolled_in.StuID","$$local_field"]}}},{$project:{lettergrade:"$lettergrade",gradepoint:"$gradepoint",StuID:"$Enrolled_in.StuID",CID:"$Enrolled_in.CID",Grade:"$Enrolled_in.Grade",_id:0}}],as:"Docs3"}},{$unwind:"$Docs3"},{$lookup:{from:"Gradeconversion",localField:"Docs3.Grade",foreignField:"lettergrade",as:"Docs4"}},{$unwind:"$Docs4"},{$group:{_id:null,avg_gradepoint:{$avg:"$Docs3.gradepoint"}}},{$project:{_id:0,avg_gradepoint:1}}])</t>
  </si>
  <si>
    <t>SELECT StuID FROM Student WHERE Age = (SELECT MAX(Age) FROM Student)</t>
  </si>
  <si>
    <t>db.Student.aggregate([{$lookup:{from:"Student",pipeline:[{$group:{_id:null,col1:{$max:"$Age"}}},{$project:{_id:0,col1:1}},{$limit:1}],as:"scalar_subq"}},{$unwind:{path:"$scalar_subq",preserveNullAndEmptyArrays:false}},{$match:{$expr:{$eq:["$Age","$scalar_subq.col1"]}}},{$project:{scalar_subq:0}},{$project:{StuID:1,_id:0}}])</t>
  </si>
  <si>
    <t>What student id corresponds to the oldest student?</t>
  </si>
  <si>
    <t>What is the student ID of the student who is the oldest?</t>
  </si>
  <si>
    <t>Can you provide the student ID for the oldest student?</t>
  </si>
  <si>
    <t>Identify the student ID associated with the oldest student.</t>
  </si>
  <si>
    <t>SELECT product_price FROM products WHERE product_id NOT IN (SELECT product_id FROM complaints)</t>
  </si>
  <si>
    <t>SELECT product_price FROM Products WHERE product_id NOT IN (SELECT product_id FROM Complaints WHERE complaint_outcome_code = 'Clean')</t>
  </si>
  <si>
    <t>db.Products.aggregate([{$lookup:{from:"Staff",as:"subquery_results",let:{local_field:"$product_id"},pipeline:[{$unwind:"$Complaints"},{$match:{"Complaints.complaint_outcome_code":"Clean"}},{$project:{"Complaints.product_id":1,_id:0}},{$match:{$expr:{$eq:["$Complaints.product_id","$$local_field"]}}},{$limit:1}]}},{$match:{subquery_results:{$eq:[]}}},{$project:{subquery_results:0}},{$project:{product_price:1,_id:0}}])</t>
  </si>
  <si>
    <t>db.Products.find({Complaints:{$size:0}},{product_price:1,_id:0})</t>
  </si>
  <si>
    <t>SELECT T2.date_of_enrolment FROM Courses AS T1 JOIN Student_Course_Enrolment AS T2 ON T1.course_id = T2.course_id WHERE T1.course_name = 'Spanish'</t>
  </si>
  <si>
    <t>SELECT T1.date_of_enrolment FROM Student_Course_Enrolment AS T1 JOIN Courses AS T2 ON T1.course_id = T2.course_id JOIN Subjects AS T3 ON T2.subject_id = T3.subject_id WHERE T3.subject_name = 'Spanish'</t>
  </si>
  <si>
    <t>db.Students.aggregate([{$unwind:"$Student_Course_Enrolment"},{$lookup:{from:"Course_Authors_and_Tutors",let:{local_field:"$Student_Course_Enrolment.course_id"},pipeline:[{$unwind:"$Courses"},{$match:{$expr:{$eq:["$Courses.course_id","$$local_field"]}}},{$project:{author_tutor_ATB:"$author_tutor_ATB",login_name:"$login_name",password:"$password",personal_name:"$personal_name",middle_name:"$middle_name",family_name:"$family_name",gender_mf:"$gender_mf",address_line_1:"$address_line_1",course_id:"$Courses.course_id",author_id:"$Courses.author_id",subject_id:"$Courses.subject_id",course_name:"$Courses.course_name",course_description:"$Courses.course_description",_id:0}}],as:"Docs1"}},{$unwind:"$Docs1"},{$lookup:{from:"Subjects",localField:"Docs1.subject_id",foreignField:"subject_id",as:"Docs2"}},{$unwind:"$Docs2"},{$match:{"Docs2.subject_name":"Spanish"}},{$project:{date_of_enrolment:"$Student_Course_Enrolment.date_of_enrolment",_id:0}}])</t>
  </si>
  <si>
    <t>db.Subjects.aggregate([{$unwind:"$Courses"},{$match:{"Courses.course_name":"Spanish"}},{$unwind:"$Courses.Student_Course_Enrolment"},{$project:{date_of_enrolment:"$Courses.Student_Course_Enrolment.date_of_enrolment",_id:0}}])</t>
  </si>
  <si>
    <t>SELECT DISTINCT Allergy FROM Allergy_Type WHERE AllergyType = 'food'</t>
  </si>
  <si>
    <t>db.Allergy_Type.distinct("Allergy",{AllergyType:"food"})</t>
  </si>
  <si>
    <t>List all types of allergies related to food.</t>
  </si>
  <si>
    <t>SELECT AllergyType FROM Allergy_Type WHERE AllergyType = 'food'</t>
  </si>
  <si>
    <t>db.Allergy_Type.find({AllergyType:"food"},{AllergyType:1,_id:0})</t>
  </si>
  <si>
    <t>SELECT T3.area_code FROM contestants AS T1 JOIN votes AS T2 ON T1.contestant_number = T2.contestant_number JOIN area_code_state AS T3 ON T2.state = T3.state WHERE T1.contestant_name = 'Tabatha Gehling' INTERSECT SELECT T3.area_code FROM contestants AS T1 JOIN votes AS T2 ON T1.contestant_number = T2.contestant_number JOIN area_code_state AS T3 ON T2.state = T3.state WHERE T1.contestant_name = 'Kelly Clauss'</t>
  </si>
  <si>
    <t>SELECT area_code FROM VOTES AS V1 JOIN CONTESTANTS AS C1 JOIN VOTES AS V2 JOIN CONTESTANTS AS C2 ON V1.contestant_number = C1.contestant_number AND V2.contestant_number = C2.contestant_number WHERE C1.contestant_name = 'Tabatha Gehling' AND C2.contestant_name = 'Kelly Clauss'</t>
  </si>
  <si>
    <t>db.CONTESTANTS.aggregate([{$match:{$or:[{contestant_name:"Tabatha Gehling"},{contestant_name:"Kelly Clauss"}]}},{$lookup:{from:"AREA_CODE_STATE",localField:"VOTES.state",foreignField:"state",as:"Docs1"}},{$unwind:"$Docs1"},{$group:{_id:"$Docs1.area_code",count:{$sum:1}}},{$match:{count:{$gte:2}}},{$project:{_id:0,area_code:"$_id"}}])</t>
  </si>
  <si>
    <t>Find the area codes that show votes for both contestants 'Tabatha Gehling' and 'Kelly Clauss'.</t>
  </si>
  <si>
    <t>SELECT area_code FROM VOTES AS V JOIN CONTESTANTS AS C ON V.contestant_number = C.contestant_number WHERE C.contestant_name = 'Tabatha Gehling' INTERSECT SELECT area_code FROM VOTES AS V JOIN CONTESTANTS AS C ON V.contestant_number = C.contestant_number WHERE C.contestant_name = 'Kelly Clauss'</t>
  </si>
  <si>
    <t>db.CONTESTANTS.aggregate([{$unwind:"$VOTES"},{$match:{$or:[{contestant_name:"Tabatha Gehling"},{contestant_name:"Kelly Clauss"}]}},{$group:{_id:{area_code:"$area_code"},__intersect_values:{$addToSet:"$contestant_name"}}},{$match:{__intersect_values:{$all:["Tabatha Gehling","Kelly Clauss"]}}},{$project:{_id:0,area_code:"$_id.area_code"}}])</t>
  </si>
  <si>
    <t>Can you list the area codes from which voters supported both 'Tabatha Gehling' and 'Kelly Clauss'?</t>
  </si>
  <si>
    <t>SELECT area_code FROM VOTES AS V1 JOIN CONTESTANTS AS C1 ON V1.contestant_number = C1.contestant_number JOIN VOTES AS V2 ON V1.phone_number = V2.phone_number JOIN CONTESTANTS AS C2 ON V2.contestant_number = C2.contestant_number WHERE C1.contestant_name = 'Tabatha Gehling' AND C2.contestant_name = 'Kelly Clauss'</t>
  </si>
  <si>
    <t>db.CONTESTANTS.aggregate([{$match:{$and:[{contestant_name:"Kelly Clauss"},{contestant_name:"Tabatha Gehling"}]}},{$unwind:"$VOTES"},{$project:{area_code:1,_id:0}}])</t>
  </si>
  <si>
    <t>SELECT name , TYPE , flag FROM ship ORDER BY built_year DESC LIMIT 1</t>
  </si>
  <si>
    <t>SELECT s.Name, s.Type, s.Flag FROM Ship s WHERE s.Built_Year = (SELECT MAX(Built_Year) FROM Ship)</t>
  </si>
  <si>
    <t>db.Ship.aggregate([{$lookup:{from:"Ship",pipeline:[{$group:{_id:null,col1:{$max:"$Built_Year"}}},{$project:{_id:0,col1:1}},{$limit:1}],as:"scalar_subq"}},{$unwind:{path:"$scalar_subq",preserveNullAndEmptyArrays:false}},{$match:{$expr:{$eq:["$Built_Year","$scalar_subq.col1"]}}},{$project:{scalar_subq:0}},{$project:{Name:1,Type:1,Flag:1,_id:0}}])</t>
  </si>
  <si>
    <t>db.Ship.aggregate([{$sort:{Built_Year:-1}},{$limit:1},{$project:{Name:1,Type:1,Flag:1,_id:0}}])</t>
  </si>
  <si>
    <t>What are the name, type, and flag of the newest ship?</t>
  </si>
  <si>
    <t>SELECT Name, Type, Flag FROM Ship WHERE Built_Year = (SELECT MAX(Built_Year) FROM Ship)</t>
  </si>
  <si>
    <t>Identify the name, type, and flag of the ship that was built most recently.</t>
  </si>
  <si>
    <t>SELECT job_title , AVG(salary) FROM employees AS T1 JOIN jobs AS T2 ON T1.job_id = T2.job_id GROUP BY T2.job_title</t>
  </si>
  <si>
    <t>SELECT JOB_TITLE, AVG(SALARY) FROM employees GROUP BY JOB_TITLE</t>
  </si>
  <si>
    <t>db.jobs.aggregate([{$unwind:"$employees"},{$group:{_id:"$employees.JOB_TITLE",avg_SALARY:{$avg:"$employees.SALARY"}}},{$project:{JOB_TITLE:"$_id",avg_SALARY:1,_id:0}}])</t>
  </si>
  <si>
    <t>db.jobs.aggregate([{$unwind:"$employees"},{$group:{_id:"$JOB_TITLE",AVG_salary:{$avg:"$employees.SALARY"}}},{$project:{JOB_TITLE:"$_id",AVG_salary:1,_id:0}}])</t>
  </si>
  <si>
    <t>SELECT DISTINCT city_code FROM Student</t>
  </si>
  <si>
    <t>SELECT city_code FROM Student</t>
  </si>
  <si>
    <t>db.Student.find({},{city_code:1,_id:0})</t>
  </si>
  <si>
    <t>db.Student.aggregate([{$group:{_id:"$city_code"}},{$project:{_id:0,city_code:"$_id"}}])</t>
  </si>
  <si>
    <t>What cities do students live in?</t>
  </si>
  <si>
    <t>List all the cities in which students reside.</t>
  </si>
  <si>
    <t>Identify the cities where students are located.</t>
  </si>
  <si>
    <t>SELECT DISTINCT T2.department_name FROM employees AS T1 JOIN departments AS T2 ON T1.department_id = T2.department_id</t>
  </si>
  <si>
    <t>SELECT T1.DEPARTMENT_NAME FROM departments AS T1 JOIN employees AS T2 ON T1.DEPARTMENT_ID = T2.DEPARTMENT_ID</t>
  </si>
  <si>
    <t>db.departments.aggregate([{$lookup:{from:"jobs",let:{local_field:"$DEPARTMENT_ID"},pipeline:[{$unwind:"$employees"},{$match:{$expr:{$eq:["$employees.DEPARTMENT_ID","$$local_field"]}}},{$project:{JOB_TITLE:"$JOB_TITLE",MIN_SALARY:"$MIN_SALARY",MAX_SALARY:"$MAX_SALARY",EMPLOYEE_ID:"$employees.EMPLOYEE_ID",FIRST_NAME:"$employees.FIRST_NAME",LAST_NAME:"$employees.LAST_NAME",EMAIL:"$employees.EMAIL",PHONE_NUMBER:"$employees.PHONE_NUMBER",HIRE_DATE:"$employees.HIRE_DATE",JOB_ID:"$employees.JOB_ID",SALARY:"$employees.SALARY",COMMISSION_PCT:"$employees.COMMISSION_PCT",MANAGER_ID:"$employees.MANAGER_ID",DEPARTMENT_ID:"$employees.DEPARTMENT_ID",_id:0}}],as:"Docs1"}},{$unwind:"$Docs1"},{$project:{DEPARTMENT_NAME:1,_id:0}}])</t>
  </si>
  <si>
    <t>db.departments.aggregate([{$match:{employees:{$exists:true,$ne:[]}}},{$project:{DEPARTMENT_NAME:1,_id:0}}])</t>
  </si>
  <si>
    <t>SELECT DISTINCT main_industry FROM company</t>
  </si>
  <si>
    <t>SELECT Main_Industry FROM company</t>
  </si>
  <si>
    <t>db.company.find({},{Main_Industry:1,_id:0})</t>
  </si>
  <si>
    <t>db.company.aggregate([{$group:{_id:"$Main_Industry"}},{$project:{_id:0,Main_Industry:"$_id"}}])</t>
  </si>
  <si>
    <t>What are the various main industries associated with the companies?</t>
  </si>
  <si>
    <t>Provide a complete list of main industries for all the companies in the dataset.</t>
  </si>
  <si>
    <t>SELECT country FROM airlines WHERE active = 'Y' GROUP BY country ORDER BY count(*) DESC LIMIT 1</t>
  </si>
  <si>
    <t>SELECT country, COUNT(*) FROM airlines WHERE active = 'Y' GROUP BY country ORDER BY COUNT(*) DESC LIMIT 1;</t>
  </si>
  <si>
    <t>db.airlines.aggregate([{$match:{active:"Y"}},{$group:{_id:"$country",count:{$sum:1}}},{$sort:{count:-1}},{$limit:1},{$project:{country:"$_id",count:1,_id:0}}])</t>
  </si>
  <si>
    <t>db.airlines.aggregate([{$match:{active:'Y'}},{$group:{_id:"$country",count:{$sum:1}}},{$sort:{count:-1}},{$limit:1},{$project:{country:"$_id",_id:0}}])</t>
  </si>
  <si>
    <t>db.editor.aggregate([{$unwind:"$journal_committee"},{$lookup:{from:"journal",localField:"journal_committee.Journal_ID",foreignField:"Journal_ID",as:"Docs1"}},{$unwind:"$Docs1"},{$match:{"Docs1.Sales":{$gt:3000}}},{$project:{Name:1,_id:0}}])</t>
  </si>
  <si>
    <t>Provide the names of editors associated with journals that have sales exceeding 3000.</t>
  </si>
  <si>
    <t>SELECT T2.Name FROM editor AS T2 JOIN journal_committee AS T1 ON T2.Editor_ID = T1.Editor_ID JOIN journal AS T3 ON T1.Journal_ID = T3.Journal_ID WHERE T3.Sales &gt; 3000</t>
  </si>
  <si>
    <t>Identify the editors connected to journals with sales higher than 3000.</t>
  </si>
  <si>
    <t>SELECT E.Name FROM editor E JOIN journal_committee JC ON E.Editor_ID = JC.Editor_ID JOIN journal J ON JC.Journal_ID = J.Journal_ID WHERE J.Sales &gt; 3000;</t>
  </si>
  <si>
    <t>Retrieve the names of editors involved with journals that have sales more than 3000.</t>
  </si>
  <si>
    <t>SELECT T2.Name FROM editor AS T2 JOIN journal_committee AS T1 ON T1.Editor_ID = T2.Editor_ID JOIN journal AS T3 ON T1.Journal_ID = T3.Journal_ID WHERE T3.Sales &gt; 3000;</t>
  </si>
  <si>
    <t>SELECT count(*) FROM airlines</t>
  </si>
  <si>
    <t>SELECT count(*) FROM airlines WHERE active = 'Y'</t>
  </si>
  <si>
    <t>db.airlines.aggregate([{$match:{active:"Y"}},{$count:"count"}])</t>
  </si>
  <si>
    <t>db.airlines.aggregate([{$count:"count"}])</t>
  </si>
  <si>
    <t>SELECT T1.document_id FROM Documents_with_expenses AS T1 JOIN Ref_Budget_Codes AS T2 ON T1.Budget_Type_code = T2.Budget_Type_code WHERE T2.budget_type_Description = 'Government'</t>
  </si>
  <si>
    <t>SELECT Documents.Document_ID FROM Documents_with_Expenses JOIN Ref_Budget_Codes ON Documents_with_Expenses.Budget_Type_Code = Ref_Budget_Codes.Budget_Type_Code WHERE Ref_Budget_Codes.Budget_Type_Description = 'Government'</t>
  </si>
  <si>
    <t>db.Ref_Budget_Codes.aggregate([{$match:{Budget_Type_Description:"Government"}},{$unwind:"$Documents_with_Expenses"},{$project:{Document_ID:"$Documents.Document_ID",_id:0}}])</t>
  </si>
  <si>
    <t>db.Projects.aggregate([{$unwind:"$Documents"},{$unwind:"$Documents.Documents_with_Expenses"},{$lookup:{from:"Ref_Budget_Codes",localField:"Documents.Documents_with_Expenses.Budget_Type_Code",foreignField:"Budget_Type_Code",as:"Docs1"}},{$match:{$or:[{"Docs1.Budget_Type_Description":"Government"},{"Documents.Documents_with_Expenses.Document_Details":"Government"}]}},{$project:{Document_ID:"$Documents.Document_ID",_id:0}}])</t>
  </si>
  <si>
    <t>SELECT sum(Enrollment) , affiliation FROM university WHERE founded &gt; 1850 GROUP BY affiliation</t>
  </si>
  <si>
    <t>SELECT sum(u.Enrollment) as Total_Enrollment, u.Affiliation FROM university u WHERE u.Founded &gt; 1850 GROUP BY u.Affiliation;</t>
  </si>
  <si>
    <t>db.university.aggregate([{$match:{Founded:{$gt:1850}}},{$group:{_id:"$Affiliation",Total_Enrollment:{$sum:"$Enrollment"}}},{$project:{Total_Enrollment:1,Affiliation:"$_id",_id:0}}])</t>
  </si>
  <si>
    <t>db.university.aggregate([{$match:{Founded:{$gt:1850}}},{$group:{_id:"$Affiliation",sum_Enrollment:{$sum:"$Enrollment"}}},{$project:{_id:0,Affiliation:"$_id",sum_Enrollment:1}}])</t>
  </si>
  <si>
    <t>SELECT T1.date_of_enrolment , T1.date_of_completion FROM Student_Course_Enrolment AS T1 JOIN Students AS T2 ON T1.student_id = T2.student_id WHERE T2.family_name = 'Zieme' AND T2.personal_name = 'Bernie'</t>
  </si>
  <si>
    <t>SELECT T2.date_of_registration, T2.date_of_completion FROM Students AS T1 JOIN Student_Course_Enrolment AS T2 ON T1.student_id = T2.student_id WHERE T1.family_name = 'Zieme' AND T1.personal_name = 'Bernie'</t>
  </si>
  <si>
    <t>db.Students.aggregate([{$match:{personal_name:"Bernie",family_name:"Zieme"}},{$unwind:"$Student_Course_Enrolment"},{$project:{date_of_registration:1,date_of_completion:"$Student_Course_Enrolment.date_of_completion",_id:0}}])</t>
  </si>
  <si>
    <t>db.Students.aggregate([{$match:{family_name:"Zieme",personal_name:"Bernie"}},{$unwind:"$Student_Course_Enrolment"},{$project:{date_of_enrolment:"$Student_Course_Enrolment.date_of_enrolment",date_of_completion:"$Student_Course_Enrolment.date_of_completion",_id:0}}])</t>
  </si>
  <si>
    <t>SELECT Advisor FROM STUDENT GROUP BY Advisor HAVING count(*) &gt; 2</t>
  </si>
  <si>
    <t>SELECT T1.Advisor, COUNT(T1.StuID) AS num_students FROM Student AS T1 GROUP BY T1.Advisor HAVING COUNT(T1.StuID) &gt; 2</t>
  </si>
  <si>
    <t>db.Student.aggregate([{$group:{_id:"$Advisor",count:{$sum:{$cond:[{$gt:["$StuID",null]},1,0]}}}},{$match:{"COUNT(StuID)":{$gt:2}}},{$project:{Advisor:"$_id",count:1,_id:0}}])</t>
  </si>
  <si>
    <t>db.Student.aggregate([{$group:{_id:"$Advisor",count:{$sum:1}}},{$match:{count:{$gt:2}}},{$project:{Advisor:"$_id",_id:0}}])</t>
  </si>
  <si>
    <t>Who are the advisors that have more than two students under their guidance?</t>
  </si>
  <si>
    <t>Translator Error Attribution Review</t>
  </si>
  <si>
    <t>This workbook documents enhanced-execution failures from the gold-SQL and DAIL-predicted-SQL translator runs. The completed gold-SQL review covers 110 failures in 22 five-example clusters. The predicted-SQL review covers 327 failed examples in 170 query families and attributes each failure to DAIL-SQL, the deterministic translator, or a known benchmark issue. No benchmark query, expected output, evaluator, or reported score is changed.</t>
  </si>
  <si>
    <t>Predicted-SQL attribution scope</t>
  </si>
  <si>
    <t>Correct with predicted SQL</t>
  </si>
  <si>
    <t>Predicted-SQL run failures</t>
  </si>
  <si>
    <t>Rows in SQL Pred Details</t>
  </si>
  <si>
    <t>Failure families</t>
  </si>
  <si>
    <t>Five-paraphrase TEND query families with at least one failure</t>
  </si>
  <si>
    <t>Correct only with gold SQL</t>
  </si>
  <si>
    <t>Primary candidates for upstream SQL error or alternate-SQL translator defect</t>
  </si>
  <si>
    <t>Incorrect with both</t>
  </si>
  <si>
    <t>Requires benchmark/translator/SQL attribution</t>
  </si>
  <si>
    <t>Correct only with predicted SQL</t>
  </si>
  <si>
    <t>Predicted SQL avoids a gold-run discrepancy</t>
  </si>
  <si>
    <t>Predicted-SQL accuracy</t>
  </si>
  <si>
    <t>Manual review status</t>
  </si>
  <si>
    <t>Failed examples classified so far</t>
  </si>
  <si>
    <t>The SQL-prediction review is intentionally per example because different NLQ paraphrases in the same TEND family can produce different DAIL SQL. “SQL prediction error?” records semantic errors in the predicted SQL; semantically valid alternative SQL that exposes a translator limitation is recorded separately as a translator defect.</t>
  </si>
  <si>
    <t>28, 29</t>
  </si>
  <si>
    <t>Both DAIL predictions omit Member_of and incorrectly count department rows rather than department members; no translator defect remains in this family.</t>
  </si>
  <si>
    <t>The NLQ does not request distinct results, so DAIL reasonably omits DISTINCT; gold SQL silently imposes duplicate elimination and expects 294 rather than 500 rows.</t>
  </si>
  <si>
    <r>
      <t xml:space="preserve">The DAIL SQL references the nonexistent </t>
    </r>
    <r>
      <rPr>
        <sz val="10"/>
        <color theme="1"/>
        <rFont val="Arial Unicode MS"/>
      </rPr>
      <t>Courses.subject_name</t>
    </r>
    <r>
      <rPr>
        <sz val="11"/>
        <color theme="1"/>
        <rFont val="Aptos Narrow"/>
        <family val="2"/>
      </rPr>
      <t xml:space="preserve"> field and omits the required join to </t>
    </r>
    <r>
      <rPr>
        <sz val="10"/>
        <color theme="1"/>
        <rFont val="Arial Unicode MS"/>
      </rPr>
      <t>Subjects</t>
    </r>
    <r>
      <rPr>
        <sz val="11"/>
        <color theme="1"/>
        <rFont val="Aptos Narrow"/>
        <family val="2"/>
      </rPr>
      <t>; the parser correctly rejects it.</t>
    </r>
  </si>
  <si>
    <t>DAIL predictions omit Member_of and incorrectly count department rows rather than department members; no translator defect remains in this family.</t>
  </si>
  <si>
    <t>Benchmark ambiguity</t>
  </si>
  <si>
    <r>
      <t xml:space="preserve">The predicted SQL filters </t>
    </r>
    <r>
      <rPr>
        <sz val="10"/>
        <color theme="1"/>
        <rFont val="Arial Unicode MS"/>
      </rPr>
      <t>Subjects.subject_name</t>
    </r>
    <r>
      <rPr>
        <sz val="11"/>
        <color theme="1"/>
        <rFont val="Aptos Narrow"/>
        <family val="2"/>
      </rPr>
      <t xml:space="preserve"> rather than </t>
    </r>
    <r>
      <rPr>
        <sz val="10"/>
        <color theme="1"/>
        <rFont val="Arial Unicode MS"/>
      </rPr>
      <t>Courses.course_name</t>
    </r>
    <r>
      <rPr>
        <sz val="11"/>
        <color theme="1"/>
        <rFont val="Aptos Narrow"/>
        <family val="2"/>
      </rPr>
      <t xml:space="preserve"> and consequently returns no rows; it also adds an unnecessary </t>
    </r>
    <r>
      <rPr>
        <sz val="10"/>
        <color theme="1"/>
        <rFont val="Arial Unicode MS"/>
      </rPr>
      <t>Subjects</t>
    </r>
    <r>
      <rPr>
        <sz val="11"/>
        <color theme="1"/>
        <rFont val="Aptos Narrow"/>
        <family val="2"/>
      </rPr>
      <t xml:space="preserve"> join and projects </t>
    </r>
    <r>
      <rPr>
        <sz val="10"/>
        <color theme="1"/>
        <rFont val="Arial Unicode MS"/>
      </rPr>
      <t>personal_name</t>
    </r>
    <r>
      <rPr>
        <sz val="11"/>
        <color theme="1"/>
        <rFont val="Aptos Narrow"/>
        <family val="2"/>
      </rPr>
      <t xml:space="preserve"> in addition to the benchmark-requested </t>
    </r>
    <r>
      <rPr>
        <sz val="10"/>
        <color theme="1"/>
        <rFont val="Arial Unicode MS"/>
      </rPr>
      <t>login_name</t>
    </r>
    <r>
      <rPr>
        <sz val="11"/>
        <color theme="1"/>
        <rFont val="Aptos Narrow"/>
        <family val="2"/>
      </rPr>
      <t>. The translator correctly implements the supplied SQL.</t>
    </r>
  </si>
  <si>
    <r>
      <t xml:space="preserve">The predicted derived query combines </t>
    </r>
    <r>
      <rPr>
        <sz val="10"/>
        <color theme="1"/>
        <rFont val="Arial Unicode MS"/>
      </rPr>
      <t>School_ID</t>
    </r>
    <r>
      <rPr>
        <sz val="11"/>
        <color theme="1"/>
        <rFont val="Aptos Narrow"/>
        <family val="2"/>
      </rPr>
      <t xml:space="preserve"> with </t>
    </r>
    <r>
      <rPr>
        <sz val="10"/>
        <color theme="1"/>
        <rFont val="Arial Unicode MS"/>
      </rPr>
      <t>MAX(Enrollment)</t>
    </r>
    <r>
      <rPr>
        <sz val="11"/>
        <color theme="1"/>
        <rFont val="Aptos Narrow"/>
        <family val="2"/>
      </rPr>
      <t xml:space="preserve"> without grouping, making it invalid standard SQL and potentially associating the maximum enrollment with an unrelated school. The resulting translation failure originates from the malformed DAIL SQL; valid SQL would use </t>
    </r>
    <r>
      <rPr>
        <sz val="10"/>
        <color theme="1"/>
        <rFont val="Arial Unicode MS"/>
      </rPr>
      <t>ORDER BY Enrollment DESC LIMIT 1</t>
    </r>
    <r>
      <rPr>
        <sz val="11"/>
        <color theme="1"/>
        <rFont val="Aptos Narrow"/>
        <family val="2"/>
      </rPr>
      <t xml:space="preserve"> or compare against a scalar </t>
    </r>
    <r>
      <rPr>
        <sz val="10"/>
        <color theme="1"/>
        <rFont val="Arial Unicode MS"/>
      </rPr>
      <t>MAX(Enrollment)</t>
    </r>
    <r>
      <rPr>
        <sz val="11"/>
        <color theme="1"/>
        <rFont val="Aptos Narrow"/>
        <family val="2"/>
      </rPr>
      <t xml:space="preserve"> subquery.</t>
    </r>
  </si>
  <si>
    <r>
      <t xml:space="preserve">The NLQ says salaries “above the minimum and under 2500,” and the DAIL SQL correctly uses exclusive </t>
    </r>
    <r>
      <rPr>
        <sz val="10"/>
        <color theme="1"/>
        <rFont val="Arial Unicode MS"/>
      </rPr>
      <t>&gt;</t>
    </r>
    <r>
      <rPr>
        <sz val="11"/>
        <color theme="1"/>
        <rFont val="Aptos Narrow"/>
        <family val="2"/>
      </rPr>
      <t xml:space="preserve"> and </t>
    </r>
    <r>
      <rPr>
        <sz val="10"/>
        <color theme="1"/>
        <rFont val="Arial Unicode MS"/>
      </rPr>
      <t>&lt;</t>
    </r>
    <r>
      <rPr>
        <sz val="11"/>
        <color theme="1"/>
        <rFont val="Aptos Narrow"/>
        <family val="2"/>
      </rPr>
      <t xml:space="preserve"> comparisons, returning four employees. Gold SQL instead uses inclusive </t>
    </r>
    <r>
      <rPr>
        <sz val="10"/>
        <color theme="1"/>
        <rFont val="Arial Unicode MS"/>
      </rPr>
      <t>BETWEEN</t>
    </r>
    <r>
      <rPr>
        <sz val="11"/>
        <color theme="1"/>
        <rFont val="Aptos Narrow"/>
        <family val="2"/>
      </rPr>
      <t xml:space="preserve"> and returns 11 employees, including boundary values; the translator correctly implements the supplied DAIL SQL.</t>
    </r>
  </si>
  <si>
    <t>Benchmark annotation ambiguity</t>
  </si>
  <si>
    <t>NLQ–gold SQL boundary mismatch</t>
  </si>
  <si>
    <r>
      <t xml:space="preserve">Each failed DAIL query groups directly by city and therefore returns 46 per-city rows rather than one total count of qualifying cities. Example 208 is translated faithfully, returning each qualifying city’s airport count; the correct SQL requires an outer </t>
    </r>
    <r>
      <rPr>
        <sz val="10"/>
        <color theme="1"/>
        <rFont val="Arial Unicode MS"/>
      </rPr>
      <t>COUNT(*)</t>
    </r>
    <r>
      <rPr>
        <sz val="11"/>
        <color theme="1"/>
        <rFont val="Aptos Narrow"/>
        <family val="2"/>
      </rPr>
      <t xml:space="preserve"> over the grouped and filtered subquery.</t>
    </r>
  </si>
  <si>
    <r>
      <t xml:space="preserve">DAIL query groups directly by city and therefore returns 46 per-city rows rather than one total count of qualifying cities. Example 208 is translated faithfully, returning each qualifying city’s airport count; the correct SQL requires an outer </t>
    </r>
    <r>
      <rPr>
        <sz val="10"/>
        <color theme="1"/>
        <rFont val="Arial Unicode MS"/>
      </rPr>
      <t>COUNT(*)</t>
    </r>
    <r>
      <rPr>
        <sz val="11"/>
        <color theme="1"/>
        <rFont val="Aptos Narrow"/>
        <family val="2"/>
      </rPr>
      <t xml:space="preserve"> over the grouped and filtered subquery.</t>
    </r>
  </si>
  <si>
    <r>
      <t xml:space="preserve">DAIL error: it joins </t>
    </r>
    <r>
      <rPr>
        <sz val="10"/>
        <color theme="1"/>
        <rFont val="Arial Unicode MS"/>
      </rPr>
      <t>city</t>
    </r>
    <r>
      <rPr>
        <sz val="11"/>
        <color theme="1"/>
        <rFont val="Aptos Narrow"/>
        <family val="2"/>
      </rPr>
      <t xml:space="preserve"> and groups by </t>
    </r>
    <r>
      <rPr>
        <sz val="10"/>
        <color theme="1"/>
        <rFont val="Arial Unicode MS"/>
      </rPr>
      <t>city.Location</t>
    </r>
    <r>
      <rPr>
        <sz val="11"/>
        <color theme="1"/>
        <rFont val="Aptos Narrow"/>
        <family val="2"/>
      </rPr>
      <t xml:space="preserve">, changing the relation and weighting compared with the gold query over </t>
    </r>
    <r>
      <rPr>
        <sz val="10"/>
        <color theme="1"/>
        <rFont val="Arial Unicode MS"/>
      </rPr>
      <t>county_public_safety.Location</t>
    </r>
    <r>
      <rPr>
        <sz val="11"/>
        <color theme="1"/>
        <rFont val="Aptos Narrow"/>
        <family val="2"/>
      </rPr>
      <t>.</t>
    </r>
  </si>
  <si>
    <r>
      <t xml:space="preserve">DAIL replaced the set-producing </t>
    </r>
    <r>
      <rPr>
        <sz val="10"/>
        <color theme="1"/>
        <rFont val="Arial Unicode MS"/>
      </rPr>
      <t>EXCEPT</t>
    </r>
    <r>
      <rPr>
        <sz val="11"/>
        <color theme="1"/>
        <rFont val="Aptos Narrow"/>
        <family val="2"/>
      </rPr>
      <t xml:space="preserve"> with </t>
    </r>
    <r>
      <rPr>
        <sz val="10"/>
        <color theme="1"/>
        <rFont val="Arial Unicode MS"/>
      </rPr>
      <t>NOT IN</t>
    </r>
    <r>
      <rPr>
        <sz val="11"/>
        <color theme="1"/>
        <rFont val="Aptos Narrow"/>
        <family val="2"/>
      </rPr>
      <t xml:space="preserve"> but omitted </t>
    </r>
    <r>
      <rPr>
        <sz val="10"/>
        <color theme="1"/>
        <rFont val="Arial Unicode MS"/>
      </rPr>
      <t>DISTINCT</t>
    </r>
    <r>
      <rPr>
        <sz val="11"/>
        <color theme="1"/>
        <rFont val="Aptos Narrow"/>
        <family val="2"/>
      </rPr>
      <t>, causing duplicate appellations to be retained; the translator faithfully implements the predicted SQL’s bag semantics.</t>
    </r>
  </si>
  <si>
    <t>Example 238 follows the NLQ’s request for counts by allergy type but conflicts with gold SQL grouped by individual allergy; example 239 incorrectly groups individual allergies by type. The translator correctly executes both interpretations.</t>
  </si>
  <si>
    <t>NLQ–gold SQL inconsistency</t>
  </si>
  <si>
    <t>Follows the NLQ’s request for counts by allergy type but conflicts with gold SQL grouped by individual allergy</t>
  </si>
  <si>
    <t>Incorrectly groups individual allergies by type. The translator correctly executes both interpretations.</t>
  </si>
  <si>
    <r>
      <t xml:space="preserve">DAIL unnecessarily projects </t>
    </r>
    <r>
      <rPr>
        <sz val="10"/>
        <color theme="1"/>
        <rFont val="Arial Unicode MS"/>
      </rPr>
      <t>COUNT(*)</t>
    </r>
    <r>
      <rPr>
        <sz val="11"/>
        <color theme="1"/>
        <rFont val="Aptos Narrow"/>
        <family val="2"/>
      </rPr>
      <t>, while the translator correctly preserves that requested SQL output.</t>
    </r>
  </si>
  <si>
    <r>
      <t xml:space="preserve">DAIL omitted </t>
    </r>
    <r>
      <rPr>
        <sz val="10"/>
        <color theme="1"/>
        <rFont val="Arial Unicode MS"/>
      </rPr>
      <t>DISTINCT</t>
    </r>
    <r>
      <rPr>
        <sz val="11"/>
        <color theme="1"/>
        <rFont val="Aptos Narrow"/>
        <family val="2"/>
      </rPr>
      <t xml:space="preserve"> for two paraphrases requesting the available allergy types, so the translator correctly returned 28 repeated values rather than the three unique categories; the other three predictions in the group include </t>
    </r>
    <r>
      <rPr>
        <sz val="10"/>
        <color theme="1"/>
        <rFont val="Arial Unicode MS"/>
      </rPr>
      <t>DISTINCT</t>
    </r>
    <r>
      <rPr>
        <sz val="11"/>
        <color theme="1"/>
        <rFont val="Aptos Narrow"/>
        <family val="2"/>
      </rPr>
      <t xml:space="preserve"> and pass.</t>
    </r>
  </si>
  <si>
    <r>
      <t xml:space="preserve">DAIL maps “titles” to </t>
    </r>
    <r>
      <rPr>
        <sz val="10"/>
        <color theme="1"/>
        <rFont val="Arial Unicode MS"/>
      </rPr>
      <t>Pilot_name</t>
    </r>
    <r>
      <rPr>
        <sz val="11"/>
        <color theme="1"/>
        <rFont val="Aptos Narrow"/>
        <family val="2"/>
      </rPr>
      <t xml:space="preserve"> rather than the schema’s </t>
    </r>
    <r>
      <rPr>
        <sz val="10"/>
        <color theme="1"/>
        <rFont val="Arial Unicode MS"/>
      </rPr>
      <t>Position</t>
    </r>
    <r>
      <rPr>
        <sz val="11"/>
        <color theme="1"/>
        <rFont val="Aptos Narrow"/>
        <family val="2"/>
      </rPr>
      <t xml:space="preserve"> field; the translator faithfully returns four pilot names, while the corrected field selection returns the two expected positions.</t>
    </r>
  </si>
  <si>
    <t>The NLQ asks for distinct individual allergies, for which DAIL correctly returns 14, while the gold SQL counts the three distinct allergy types; this paraphrase dropped the word “types” without changing its inherited gold query.</t>
  </si>
  <si>
    <r>
      <t>The NLQ requests the northernmost airport, but gold SQL finds the airport at the greatest elevation; DAIL additionally orders by longitude (</t>
    </r>
    <r>
      <rPr>
        <sz val="10"/>
        <color theme="1"/>
        <rFont val="Arial Unicode MS"/>
      </rPr>
      <t>x</t>
    </r>
    <r>
      <rPr>
        <sz val="11"/>
        <color theme="1"/>
        <rFont val="Aptos Narrow"/>
        <family val="2"/>
      </rPr>
      <t>) rather than latitude (</t>
    </r>
    <r>
      <rPr>
        <sz val="10"/>
        <color theme="1"/>
        <rFont val="Arial Unicode MS"/>
      </rPr>
      <t>y</t>
    </r>
    <r>
      <rPr>
        <sz val="11"/>
        <color theme="1"/>
        <rFont val="Aptos Narrow"/>
        <family val="2"/>
      </rPr>
      <t>), so its prediction matches neither interpretation, while translation is faithful.</t>
    </r>
  </si>
  <si>
    <t>NLQ–gold mismatch: NLQ asks for highest latitude, but gold SQL/MQL order by elevation.</t>
  </si>
  <si>
    <r>
      <t xml:space="preserve">DAIL interprets Clara as a department name and filters for </t>
    </r>
    <r>
      <rPr>
        <sz val="10"/>
        <color theme="1"/>
        <rFont val="Arial Unicode MS"/>
      </rPr>
      <t>DEPARTMENT_NAME = 'Clara'</t>
    </r>
    <r>
      <rPr>
        <sz val="11"/>
        <color theme="1"/>
        <rFont val="Aptos Narrow"/>
        <family val="2"/>
      </rPr>
      <t>, although Clara is an employee’s first name; the translator faithfully returns no matching employees.</t>
    </r>
  </si>
  <si>
    <r>
      <t xml:space="preserve">Gold SQL/MQL use </t>
    </r>
    <r>
      <rPr>
        <sz val="10"/>
        <color theme="1"/>
        <rFont val="Arial Unicode MS"/>
      </rPr>
      <t>COUNT(*)</t>
    </r>
    <r>
      <rPr>
        <sz val="11"/>
        <color theme="1"/>
        <rFont val="Aptos Narrow"/>
        <family val="2"/>
      </rPr>
      <t xml:space="preserve"> and count duplicate embedded allergy records, although the NLQ explicitly requires at least two different allergies; DAIL’s </t>
    </r>
    <r>
      <rPr>
        <sz val="10"/>
        <color theme="1"/>
        <rFont val="Arial Unicode MS"/>
      </rPr>
      <t>COUNT(DISTINCT Allergy)</t>
    </r>
    <r>
      <rPr>
        <sz val="11"/>
        <color theme="1"/>
        <rFont val="Aptos Narrow"/>
        <family val="2"/>
      </rPr>
      <t xml:space="preserve"> correctly implements the request.</t>
    </r>
  </si>
  <si>
    <r>
      <t xml:space="preserve">DAIL adds </t>
    </r>
    <r>
      <rPr>
        <sz val="10"/>
        <color theme="1"/>
        <rFont val="Arial Unicode MS"/>
      </rPr>
      <t>County_ID</t>
    </r>
    <r>
      <rPr>
        <sz val="11"/>
        <color theme="1"/>
        <rFont val="Aptos Narrow"/>
        <family val="2"/>
      </rPr>
      <t xml:space="preserve">, </t>
    </r>
    <r>
      <rPr>
        <sz val="10"/>
        <color theme="1"/>
        <rFont val="Arial Unicode MS"/>
      </rPr>
      <t>Name</t>
    </r>
    <r>
      <rPr>
        <sz val="11"/>
        <color theme="1"/>
        <rFont val="Aptos Narrow"/>
        <family val="2"/>
      </rPr>
      <t xml:space="preserve">, and a </t>
    </r>
    <r>
      <rPr>
        <sz val="10"/>
        <color theme="1"/>
        <rFont val="Arial Unicode MS"/>
      </rPr>
      <t>GROUP BY</t>
    </r>
    <r>
      <rPr>
        <sz val="11"/>
        <color theme="1"/>
        <rFont val="Aptos Narrow"/>
        <family val="2"/>
      </rPr>
      <t>, turning the requested global extrema into six per-county rows; the translator faithfully executes the predicted SQL.</t>
    </r>
  </si>
  <si>
    <r>
      <t xml:space="preserve">One DAIL prediction unnecessarily applies </t>
    </r>
    <r>
      <rPr>
        <sz val="10"/>
        <color theme="1"/>
        <rFont val="Arial Unicode MS"/>
      </rPr>
      <t>SUM</t>
    </r>
    <r>
      <rPr>
        <sz val="11"/>
        <color theme="1"/>
        <rFont val="Aptos Narrow"/>
        <family val="2"/>
      </rPr>
      <t xml:space="preserve"> to the single largest group count, changing the output expression and field name; another additionally projects the customer type code. Both compute the correct value, but their result schemas differ from the requested count-only output.</t>
    </r>
  </si>
  <si>
    <r>
      <t xml:space="preserve">DAIL prediction unnecessarily applies </t>
    </r>
    <r>
      <rPr>
        <sz val="10"/>
        <color theme="1"/>
        <rFont val="Arial Unicode MS"/>
      </rPr>
      <t>SUM</t>
    </r>
    <r>
      <rPr>
        <sz val="11"/>
        <color theme="1"/>
        <rFont val="Aptos Narrow"/>
        <family val="2"/>
      </rPr>
      <t xml:space="preserve"> to the single largest group count, changing the output expression and field name</t>
    </r>
  </si>
  <si>
    <t>Projects the customer type code. Both compute the correct value, but their result schemas differ from the requested count-only output.</t>
  </si>
  <si>
    <t>Under-specified ordering or tie. Every editor age has the same frequency, so ORDER BY COUNT(*) DESC LIMIT 1 has no deterministic result; the benchmark arbitrarily expects age 54.</t>
  </si>
  <si>
    <t>Examples 460–463 reproduce the under-specified gold SQL and return another valid tied age. Example 464 additionally computes the average age rather than a mode. No general translator correction can guarantee the benchmark’s arbitrary tied choice.</t>
  </si>
  <si>
    <t>Example 464 computes the average age rather than a mode.</t>
  </si>
  <si>
    <r>
      <t xml:space="preserve">DAIL incorrectly applies a global </t>
    </r>
    <r>
      <rPr>
        <sz val="10"/>
        <color theme="1"/>
        <rFont val="Arial Unicode MS"/>
      </rPr>
      <t>MAX</t>
    </r>
    <r>
      <rPr>
        <sz val="11"/>
        <color theme="1"/>
        <rFont val="Aptos Narrow"/>
        <family val="2"/>
      </rPr>
      <t xml:space="preserve"> to the already-semantic </t>
    </r>
    <r>
      <rPr>
        <sz val="10"/>
        <color theme="1"/>
        <rFont val="Arial Unicode MS"/>
      </rPr>
      <t>date_of_latest_logon</t>
    </r>
    <r>
      <rPr>
        <sz val="11"/>
        <color theme="1"/>
        <rFont val="Aptos Narrow"/>
        <family val="2"/>
      </rPr>
      <t xml:space="preserve"> attribute, returning one timestamp instead of the stored latest-logon date for each of the two matching students.</t>
    </r>
  </si>
  <si>
    <r>
      <t>T2</t>
    </r>
    <r>
      <rPr>
        <sz val="11"/>
        <color theme="1"/>
        <rFont val="Aptos Narrow"/>
        <family val="2"/>
      </rPr>
      <t xml:space="preserve"> is </t>
    </r>
    <r>
      <rPr>
        <sz val="10"/>
        <color theme="1"/>
        <rFont val="Arial Unicode MS"/>
      </rPr>
      <t>Accounts</t>
    </r>
    <r>
      <rPr>
        <sz val="11"/>
        <color theme="1"/>
        <rFont val="Aptos Narrow"/>
        <family val="2"/>
      </rPr>
      <t xml:space="preserve">, which has no </t>
    </r>
    <r>
      <rPr>
        <sz val="10"/>
        <color theme="1"/>
        <rFont val="Arial Unicode MS"/>
      </rPr>
      <t>Statement_Details</t>
    </r>
    <r>
      <rPr>
        <sz val="11"/>
        <color theme="1"/>
        <rFont val="Aptos Narrow"/>
        <family val="2"/>
      </rPr>
      <t>. This causes the translator to resolve the nonexistent nested path:</t>
    </r>
  </si>
  <si>
    <r>
      <t xml:space="preserve">DAIL omits </t>
    </r>
    <r>
      <rPr>
        <sz val="10"/>
        <color theme="1"/>
        <rFont val="Arial Unicode MS"/>
      </rPr>
      <t>DISTINCT</t>
    </r>
    <r>
      <rPr>
        <sz val="11"/>
        <color theme="1"/>
        <rFont val="Aptos Narrow"/>
        <family val="2"/>
      </rPr>
      <t xml:space="preserve"> in three paraphrases, causing one row per film rather than one row per unique director; the translator correctly preserves the predicted SQL’s duplicates.</t>
    </r>
  </si>
  <si>
    <r>
      <t>T2</t>
    </r>
    <r>
      <rPr>
        <sz val="11"/>
        <color theme="1"/>
        <rFont val="Aptos Narrow"/>
        <family val="2"/>
      </rPr>
      <t xml:space="preserve"> is </t>
    </r>
    <r>
      <rPr>
        <sz val="10"/>
        <color theme="1"/>
        <rFont val="Arial Unicode MS"/>
      </rPr>
      <t>Accounts</t>
    </r>
    <r>
      <rPr>
        <sz val="11"/>
        <color theme="1"/>
        <rFont val="Aptos Narrow"/>
        <family val="2"/>
      </rPr>
      <t xml:space="preserve">, which has no </t>
    </r>
    <r>
      <rPr>
        <sz val="10"/>
        <color theme="1"/>
        <rFont val="Arial Unicode MS"/>
      </rPr>
      <t>Statement_Details</t>
    </r>
  </si>
  <si>
    <r>
      <t xml:space="preserve">DAIL adds </t>
    </r>
    <r>
      <rPr>
        <sz val="10"/>
        <color theme="1"/>
        <rFont val="Arial Unicode MS"/>
      </rPr>
      <t>DISTINCT</t>
    </r>
    <r>
      <rPr>
        <sz val="11"/>
        <color theme="1"/>
        <rFont val="Aptos Narrow"/>
        <family val="2"/>
      </rPr>
      <t xml:space="preserve"> and returns the three unique countries, while the gold SQL preserves one country row per qualifying mountain and therefore repeats Tanzania; the translator correctly implements both interpretations, and the NLQ arguably supports DAIL’s unique-country interpretation.</t>
    </r>
  </si>
  <si>
    <t>NLQ–gold ambiguity</t>
  </si>
  <si>
    <t>NLQ–gold SQL ambiguity</t>
  </si>
  <si>
    <r>
      <t xml:space="preserve">DAIL returns every complaint associated with a minimum-priced product, while the gold SQL arbitrarily selects one tied row using </t>
    </r>
    <r>
      <rPr>
        <sz val="10"/>
        <color theme="1"/>
        <rFont val="Arial Unicode MS"/>
      </rPr>
      <t>ORDER BY product_price LIMIT 1</t>
    </r>
    <r>
      <rPr>
        <sz val="11"/>
        <color theme="1"/>
        <rFont val="Aptos Narrow"/>
        <family val="2"/>
      </rPr>
      <t xml:space="preserve"> without a tie-breaker; the translator correctly implements both SQL formulations.</t>
    </r>
  </si>
  <si>
    <t>DAIL replaces the required grouping by advisor with a Student self-join and groups by individual student names, producing one row per student rather than one row and student count per advisor; the translator faithfully implements the predicted SQL.</t>
  </si>
  <si>
    <r>
      <t xml:space="preserve">The paraphrased NLQ asks for appellations with at most three wine types, which DAIL reasonably interprets as distinct grape varieties, while the unchanged gold SQL counts all wine rows; the translator correctly implements DAIL’s </t>
    </r>
    <r>
      <rPr>
        <sz val="10"/>
        <color theme="1"/>
        <rFont val="Arial Unicode MS"/>
      </rPr>
      <t>COUNT(DISTINCT Grape)</t>
    </r>
    <r>
      <rPr>
        <sz val="11"/>
        <color theme="1"/>
        <rFont val="Aptos Narrow"/>
        <family val="2"/>
      </rPr>
      <t xml:space="preserve"> formulation.</t>
    </r>
  </si>
  <si>
    <t>Example 620 computes the correct global aggregates but introduces a non-gold output alias; example 623 follows the paraphrase’s “for every school” wording and returns per-school aggregates, whereas the unchanged gold SQL returns one global aggregate row.</t>
  </si>
  <si>
    <r>
      <t xml:space="preserve">DAIL averages each qualifying journal once through an </t>
    </r>
    <r>
      <rPr>
        <sz val="10"/>
        <color theme="1"/>
        <rFont val="Arial Unicode MS"/>
      </rPr>
      <t>IN</t>
    </r>
    <r>
      <rPr>
        <sz val="11"/>
        <color theme="1"/>
        <rFont val="Aptos Narrow"/>
        <family val="2"/>
      </rPr>
      <t xml:space="preserve"> subquery, while the gold join weights a journal once per matching </t>
    </r>
    <r>
      <rPr>
        <sz val="10"/>
        <color theme="1"/>
        <rFont val="Arial Unicode MS"/>
      </rPr>
      <t>Photo</t>
    </r>
    <r>
      <rPr>
        <sz val="11"/>
        <color theme="1"/>
        <rFont val="Aptos Narrow"/>
        <family val="2"/>
      </rPr>
      <t xml:space="preserve"> committee record; the translator correctly implements both, and the NLQ arguably supports DAIL’s journal-level averaging.</t>
    </r>
  </si>
  <si>
    <t>DAIL identifies the correct mountain range but unnecessarily projects the peak count used for ordering, producing an extra result field that the translator correctly preserves.</t>
  </si>
  <si>
    <r>
      <t xml:space="preserve">The paraphrased NLQ explicitly requests ship types, so DAIL projects the valid </t>
    </r>
    <r>
      <rPr>
        <sz val="10"/>
        <color theme="1"/>
        <rFont val="Arial Unicode MS"/>
      </rPr>
      <t>Type</t>
    </r>
    <r>
      <rPr>
        <sz val="11"/>
        <color theme="1"/>
        <rFont val="Aptos Narrow"/>
        <family val="2"/>
      </rPr>
      <t xml:space="preserve"> attribute, while the unchanged gold SQL projects </t>
    </r>
    <r>
      <rPr>
        <sz val="10"/>
        <color theme="1"/>
        <rFont val="Arial Unicode MS"/>
      </rPr>
      <t>Class</t>
    </r>
    <r>
      <rPr>
        <sz val="11"/>
        <color theme="1"/>
        <rFont val="Aptos Narrow"/>
        <family val="2"/>
      </rPr>
      <t>; both identify the same four ships without captains, and the translator correctly preserves the predicted field.</t>
    </r>
  </si>
  <si>
    <r>
      <t xml:space="preserve">DAIL omits </t>
    </r>
    <r>
      <rPr>
        <sz val="10"/>
        <color theme="1"/>
        <rFont val="Arial Unicode MS"/>
      </rPr>
      <t>DISTINCT</t>
    </r>
    <r>
      <rPr>
        <sz val="11"/>
        <color theme="1"/>
        <rFont val="Aptos Narrow"/>
        <family val="2"/>
      </rPr>
      <t xml:space="preserve"> in two paraphrases, causing the translator to return one grape row per qualifying wine rather than the three unique white grape varieties requested by the NLQ and gold SQL.</t>
    </r>
  </si>
  <si>
    <r>
      <t xml:space="preserve">DAIL correctly identifies all 20 employees but interprets “full names” as one concatenated field, while the gold SQL returns separate first- and last-name fields; the translator correctly implements </t>
    </r>
    <r>
      <rPr>
        <sz val="10"/>
        <color theme="1"/>
        <rFont val="Arial Unicode MS"/>
      </rPr>
      <t>CONCAT</t>
    </r>
    <r>
      <rPr>
        <sz val="11"/>
        <color theme="1"/>
        <rFont val="Aptos Narrow"/>
        <family val="2"/>
      </rPr>
      <t>, making both failures output-shape disagreements rather than translation defects.</t>
    </r>
  </si>
  <si>
    <t xml:space="preserve"> DAIL returns a player-to-team mapping because the NLQ asks for the team of each player, while the gold SQL projects only the ordered team values; the translator correctly preserves DAIL’s additional Player field.</t>
  </si>
  <si>
    <r>
      <t xml:space="preserve">The gold MQL projects away </t>
    </r>
    <r>
      <rPr>
        <sz val="10"/>
        <color theme="1"/>
        <rFont val="Arial Unicode MS"/>
      </rPr>
      <t>Height</t>
    </r>
    <r>
      <rPr>
        <sz val="11"/>
        <color theme="1"/>
        <rFont val="Aptos Narrow"/>
        <family val="2"/>
      </rPr>
      <t xml:space="preserve"> before sorting, making its </t>
    </r>
    <r>
      <rPr>
        <sz val="10"/>
        <color theme="1"/>
        <rFont val="Arial Unicode MS"/>
      </rPr>
      <t>$sort</t>
    </r>
    <r>
      <rPr>
        <sz val="11"/>
        <color theme="1"/>
        <rFont val="Aptos Narrow"/>
        <family val="2"/>
      </rPr>
      <t xml:space="preserve"> ineffective; both gold and predicted SQL are correct, and the translator properly sorts before limiting and projection to return the actual highest mountain, Kibo.</t>
    </r>
  </si>
  <si>
    <t>Issue resolved</t>
  </si>
  <si>
    <t>Resolved</t>
  </si>
  <si>
    <t>Previous issue resolved</t>
  </si>
  <si>
    <t>The gold SQL counts only theaters exceeding capacity 300, whereas the NLQ separately requires at least one theater above 300 and multiple theaters overall.</t>
  </si>
  <si>
    <r>
      <t xml:space="preserve">The predicted SQL follows the NLQ’s separation between the capacity condition and the multiple-theater condition, but omits </t>
    </r>
    <r>
      <rPr>
        <sz val="10"/>
        <color theme="1"/>
        <rFont val="Arial Unicode MS"/>
      </rPr>
      <t>DISTINCT</t>
    </r>
    <r>
      <rPr>
        <sz val="11"/>
        <color theme="1"/>
        <rFont val="Aptos Narrow"/>
        <family val="2"/>
      </rPr>
      <t>; the gold SQL instead requires multiple theaters above capacity 300, so the failure combines a DAIL output-shape error with a gold/NLQ semantic mismatch.</t>
    </r>
  </si>
  <si>
    <t>Predicted and gold SQL are equivalent, but the earliest complaint date is tied between Lynch and Hahn; without a secondary ordering key, the translator and gold MQL legitimately select different staff members.</t>
  </si>
  <si>
    <t>DAIL changes the requested total vote count into per-contestant counts and adds an unnecessary state-table join; the translator additionally misplaces the joined-table state predicate on a nonexistent root field, although correcting that translation would still not match the gold result.</t>
  </si>
  <si>
    <r>
      <t xml:space="preserve">Examples 782 and 784 explicitly describe vessels or ship types, while the gold SQL filters the </t>
    </r>
    <r>
      <rPr>
        <sz val="10"/>
        <color theme="1"/>
        <rFont val="Arial Unicode MS"/>
      </rPr>
      <t>Class</t>
    </r>
    <r>
      <rPr>
        <sz val="11"/>
        <color theme="1"/>
        <rFont val="Aptos Narrow"/>
        <family val="2"/>
      </rPr>
      <t xml:space="preserve"> attribute of </t>
    </r>
    <r>
      <rPr>
        <sz val="10"/>
        <color theme="1"/>
        <rFont val="Arial Unicode MS"/>
      </rPr>
      <t>captain</t>
    </r>
    <r>
      <rPr>
        <sz val="11"/>
        <color theme="1"/>
        <rFont val="Aptos Narrow"/>
        <family val="2"/>
      </rPr>
      <t xml:space="preserve">; DAIL’s use of </t>
    </r>
    <r>
      <rPr>
        <sz val="10"/>
        <color theme="1"/>
        <rFont val="Arial Unicode MS"/>
      </rPr>
      <t>Ship.Type</t>
    </r>
    <r>
      <rPr>
        <sz val="11"/>
        <color theme="1"/>
        <rFont val="Aptos Narrow"/>
        <family val="2"/>
      </rPr>
      <t xml:space="preserve"> is therefore linguistically plausible even though it does not match the benchmark.</t>
    </r>
  </si>
  <si>
    <r>
      <t xml:space="preserve">Two predictions interpret “vessels/ship types” as </t>
    </r>
    <r>
      <rPr>
        <sz val="10"/>
        <color theme="1"/>
        <rFont val="Arial Unicode MS"/>
      </rPr>
      <t>Ship.Type</t>
    </r>
    <r>
      <rPr>
        <sz val="11"/>
        <color theme="1"/>
        <rFont val="Aptos Narrow"/>
        <family val="2"/>
      </rPr>
      <t xml:space="preserve"> instead of the benchmark’s </t>
    </r>
    <r>
      <rPr>
        <sz val="10"/>
        <color theme="1"/>
        <rFont val="Arial Unicode MS"/>
      </rPr>
      <t>captain.Class</t>
    </r>
    <r>
      <rPr>
        <sz val="11"/>
        <color theme="1"/>
        <rFont val="Aptos Narrow"/>
        <family val="2"/>
      </rPr>
      <t>, while the third replaces the required intersection with an OR condition; all generated MQL faithfully implements the predicted SQL, so no translator correction is indicated.</t>
    </r>
  </si>
  <si>
    <r>
      <t xml:space="preserve">Two DAIL predictions incorrectly parenthesize the Boolean condition as </t>
    </r>
    <r>
      <rPr>
        <sz val="10"/>
        <color theme="1"/>
        <rFont val="Arial Unicode MS"/>
      </rPr>
      <t>(AS OR EN) AND NEB</t>
    </r>
    <r>
      <rPr>
        <sz val="11"/>
        <color theme="1"/>
        <rFont val="Aptos Narrow"/>
        <family val="2"/>
      </rPr>
      <t>, applying the building restriction to both divisions; the translator faithfully preserves the predicted predicate, while the correctly parenthesized and UNION formulations pass.</t>
    </r>
  </si>
  <si>
    <r>
      <t xml:space="preserve">DAIL prediction incorrectly parenthesize the Boolean condition as </t>
    </r>
    <r>
      <rPr>
        <sz val="10"/>
        <color theme="1"/>
        <rFont val="Arial Unicode MS"/>
      </rPr>
      <t>(AS OR EN) AND NEB</t>
    </r>
    <r>
      <rPr>
        <sz val="11"/>
        <color theme="1"/>
        <rFont val="Aptos Narrow"/>
        <family val="2"/>
      </rPr>
      <t>, applying the building restriction to both divisions; the translator faithfully preserves the predicted predicate, while the correctly parenthesized and UNION formulations pass.</t>
    </r>
  </si>
  <si>
    <t>The NLQs request statistics for every or each company, but the gold SQL returns only global statistics across the complete table.</t>
  </si>
  <si>
    <t>DAIL correctly interprets “every/each company” as grouped aggregation and the translator faithfully returns one row per company; the benchmark retains a global aggregate from the original wording, making both failures paraphrase-induced gold/NLQ mismatches.</t>
  </si>
  <si>
    <r>
      <t xml:space="preserve">Two DAIL predictions convert the schema-specific meeting-day code </t>
    </r>
    <r>
      <rPr>
        <sz val="10"/>
        <color theme="1"/>
        <rFont val="Arial Unicode MS"/>
      </rPr>
      <t>MTW</t>
    </r>
    <r>
      <rPr>
        <sz val="11"/>
        <color theme="1"/>
        <rFont val="Aptos Narrow"/>
        <family val="2"/>
      </rPr>
      <t xml:space="preserve"> into the nonexistent values </t>
    </r>
    <r>
      <rPr>
        <sz val="10"/>
        <color theme="1"/>
        <rFont val="Arial Unicode MS"/>
      </rPr>
      <t>Mon</t>
    </r>
    <r>
      <rPr>
        <sz val="11"/>
        <color theme="1"/>
        <rFont val="Aptos Narrow"/>
        <family val="2"/>
      </rPr>
      <t xml:space="preserve">, </t>
    </r>
    <r>
      <rPr>
        <sz val="10"/>
        <color theme="1"/>
        <rFont val="Arial Unicode MS"/>
      </rPr>
      <t>Tue</t>
    </r>
    <r>
      <rPr>
        <sz val="11"/>
        <color theme="1"/>
        <rFont val="Aptos Narrow"/>
        <family val="2"/>
      </rPr>
      <t xml:space="preserve">, and </t>
    </r>
    <r>
      <rPr>
        <sz val="10"/>
        <color theme="1"/>
        <rFont val="Arial Unicode MS"/>
      </rPr>
      <t>Wed</t>
    </r>
    <r>
      <rPr>
        <sz val="11"/>
        <color theme="1"/>
        <rFont val="Aptos Narrow"/>
        <family val="2"/>
      </rPr>
      <t xml:space="preserve">; the translator faithfully executes those predicates, while predictions retaining </t>
    </r>
    <r>
      <rPr>
        <sz val="10"/>
        <color theme="1"/>
        <rFont val="Arial Unicode MS"/>
      </rPr>
      <t>Days = 'MTW'</t>
    </r>
    <r>
      <rPr>
        <sz val="11"/>
        <color theme="1"/>
        <rFont val="Aptos Narrow"/>
        <family val="2"/>
      </rPr>
      <t xml:space="preserve"> return the correct 37 courses.</t>
    </r>
  </si>
  <si>
    <t>The paraphrased NLQ combines “shared” with “or,” leaving the intended set operation ambiguous; the gold SQL retains the intersection interpretation.</t>
  </si>
  <si>
    <t>DAIL follows the NLQ’s explicit “or” and returns all starting years from either team, including a duplicate 2005, while the gold SQL follows “shared” and returns only the common year; the translator correctly preserves the predicted SQL.</t>
  </si>
  <si>
    <t>The gold SQL specifies ascending order implicitly, while the gold MQL sorts descending; the NLQ provides no direction that resolves this inconsistency.</t>
  </si>
  <si>
    <t>Three DAIL predictions unnecessarily include the airport count in the output, which the translator faithfully projects; independently, the benchmark’s gold SQL and MQL disagree on ascending versus descending order even though the NLQ does not specify a direction.</t>
  </si>
  <si>
    <r>
      <t xml:space="preserve">DAIL hallucinates a nonexistent </t>
    </r>
    <r>
      <rPr>
        <sz val="10"/>
        <color theme="1"/>
        <rFont val="Arial Unicode MS"/>
      </rPr>
      <t>advisor</t>
    </r>
    <r>
      <rPr>
        <sz val="11"/>
        <color theme="1"/>
        <rFont val="Aptos Narrow"/>
        <family val="2"/>
      </rPr>
      <t xml:space="preserve"> table instead of counting distinct </t>
    </r>
    <r>
      <rPr>
        <sz val="10"/>
        <color theme="1"/>
        <rFont val="Arial Unicode MS"/>
      </rPr>
      <t>Student.Advisor</t>
    </r>
    <r>
      <rPr>
        <sz val="11"/>
        <color theme="1"/>
        <rFont val="Aptos Narrow"/>
        <family val="2"/>
      </rPr>
      <t xml:space="preserve"> values; MongoDB accepts the resulting nonexistent collection reference and returns no rows, so the failure is entirely attributable to schema grounding in predicted SQL.</t>
    </r>
  </si>
  <si>
    <r>
      <t xml:space="preserve">One DAIL prediction unnecessarily adds the county </t>
    </r>
    <r>
      <rPr>
        <sz val="10"/>
        <color theme="1"/>
        <rFont val="Arial Unicode MS"/>
      </rPr>
      <t>Name</t>
    </r>
    <r>
      <rPr>
        <sz val="11"/>
        <color theme="1"/>
        <rFont val="Aptos Narrow"/>
        <family val="2"/>
      </rPr>
      <t xml:space="preserve"> to the requested crime-rate output; the translator correctly preserves that projection and ordering, so the failure is solely an extra-field SQL prediction error.</t>
    </r>
  </si>
  <si>
    <r>
      <t xml:space="preserve">One DAIL prediction orders a grouped query by the unaggregated </t>
    </r>
    <r>
      <rPr>
        <sz val="10"/>
        <color theme="1"/>
        <rFont val="Arial Unicode MS"/>
      </rPr>
      <t>Market_Value</t>
    </r>
    <r>
      <rPr>
        <sz val="11"/>
        <color theme="1"/>
        <rFont val="Aptos Narrow"/>
        <family val="2"/>
      </rPr>
      <t xml:space="preserve"> field instead of </t>
    </r>
    <r>
      <rPr>
        <sz val="10"/>
        <color theme="1"/>
        <rFont val="Arial Unicode MS"/>
      </rPr>
      <t>SUM(Market_Value)</t>
    </r>
    <r>
      <rPr>
        <sz val="11"/>
        <color theme="1"/>
        <rFont val="Aptos Narrow"/>
        <family val="2"/>
      </rPr>
      <t>, producing invalid grouped SQL that cannot be translated.</t>
    </r>
  </si>
  <si>
    <r>
      <t xml:space="preserve">One DAIL prediction selects </t>
    </r>
    <r>
      <rPr>
        <sz val="10"/>
        <color theme="1"/>
        <rFont val="Arial Unicode MS"/>
      </rPr>
      <t>T2.Name</t>
    </r>
    <r>
      <rPr>
        <sz val="11"/>
        <color theme="1"/>
        <rFont val="Aptos Narrow"/>
        <family val="2"/>
      </rPr>
      <t xml:space="preserve"> from the musical table instead of </t>
    </r>
    <r>
      <rPr>
        <sz val="10"/>
        <color theme="1"/>
        <rFont val="Arial Unicode MS"/>
      </rPr>
      <t>T1.Name</t>
    </r>
    <r>
      <rPr>
        <sz val="11"/>
        <color theme="1"/>
        <rFont val="Aptos Narrow"/>
        <family val="2"/>
      </rPr>
      <t xml:space="preserve"> from the actor table; the translator correctly follows that alias and returns musical titles, making this entirely an upstream projection error.</t>
    </r>
  </si>
  <si>
    <r>
      <t xml:space="preserve">The evaluation requires the source-column label </t>
    </r>
    <r>
      <rPr>
        <sz val="10"/>
        <color theme="1"/>
        <rFont val="Arial Unicode MS"/>
      </rPr>
      <t>ACC_Percent</t>
    </r>
    <r>
      <rPr>
        <sz val="11"/>
        <color theme="1"/>
        <rFont val="Aptos Narrow"/>
        <family val="2"/>
      </rPr>
      <t xml:space="preserve"> even when an equivalent unaliased aggregate expression naturally produces an aggregate-derived label.</t>
    </r>
  </si>
  <si>
    <r>
      <t xml:space="preserve">Four DAIL predictions use the semantically equivalent </t>
    </r>
    <r>
      <rPr>
        <sz val="10"/>
        <color theme="1"/>
        <rFont val="Arial Unicode MS"/>
      </rPr>
      <t>MAX(ACC_Percent)</t>
    </r>
    <r>
      <rPr>
        <sz val="11"/>
        <color theme="1"/>
        <rFont val="Aptos Narrow"/>
        <family val="2"/>
      </rPr>
      <t xml:space="preserve"> formulation and return the correct value </t>
    </r>
    <r>
      <rPr>
        <sz val="10"/>
        <color theme="1"/>
        <rFont val="Arial Unicode MS"/>
      </rPr>
      <t>.875</t>
    </r>
    <r>
      <rPr>
        <sz val="11"/>
        <color theme="1"/>
        <rFont val="Aptos Narrow"/>
        <family val="2"/>
      </rPr>
      <t xml:space="preserve">, but the translator labels the unaliased aggregate </t>
    </r>
    <r>
      <rPr>
        <sz val="10"/>
        <color theme="1"/>
        <rFont val="Arial Unicode MS"/>
      </rPr>
      <t>max_ACC_Percent</t>
    </r>
    <r>
      <rPr>
        <sz val="11"/>
        <color theme="1"/>
        <rFont val="Aptos Narrow"/>
        <family val="2"/>
      </rPr>
      <t xml:space="preserve"> while the gold MQL labels it </t>
    </r>
    <r>
      <rPr>
        <sz val="10"/>
        <color theme="1"/>
        <rFont val="Arial Unicode MS"/>
      </rPr>
      <t>ACC_Percent</t>
    </r>
    <r>
      <rPr>
        <sz val="11"/>
        <color theme="1"/>
        <rFont val="Aptos Narrow"/>
        <family val="2"/>
      </rPr>
      <t>; these are output-name evaluation mismatches rather than semantic translation errors.</t>
    </r>
  </si>
  <si>
    <t>Aggregate Field Naming Issue</t>
  </si>
  <si>
    <t>One DAIL prediction groups captains by rank and returns the frequency of each rank instead of returning the requested total number of distinct ranks; the translator correctly executes the predicted SQL.</t>
  </si>
  <si>
    <r>
      <t xml:space="preserve">he gold MQL approximates </t>
    </r>
    <r>
      <rPr>
        <sz val="10"/>
        <color theme="1"/>
        <rFont val="Arial Unicode MS"/>
      </rPr>
      <t>INTERSECT</t>
    </r>
    <r>
      <rPr>
        <sz val="11"/>
        <color theme="1"/>
        <rFont val="Aptos Narrow"/>
        <family val="2"/>
      </rPr>
      <t xml:space="preserve"> using an </t>
    </r>
    <r>
      <rPr>
        <sz val="10"/>
        <color theme="1"/>
        <rFont val="Arial Unicode MS"/>
      </rPr>
      <t>$or</t>
    </r>
    <r>
      <rPr>
        <sz val="11"/>
        <color theme="1"/>
        <rFont val="Aptos Narrow"/>
        <family val="2"/>
      </rPr>
      <t xml:space="preserve">, grouping by location, and requiring </t>
    </r>
    <r>
      <rPr>
        <sz val="10"/>
        <color theme="1"/>
        <rFont val="Arial Unicode MS"/>
      </rPr>
      <t>count &gt; 1</t>
    </r>
    <r>
      <rPr>
        <sz val="11"/>
        <color theme="1"/>
        <rFont val="Aptos Narrow"/>
        <family val="2"/>
      </rPr>
      <t>. This is not generally equivalent: two qualifying shops from only one side could produce a false match. It happens to return the correct empty result for this dataset.</t>
    </r>
  </si>
  <si>
    <r>
      <t xml:space="preserve">One DAIL prediction changes </t>
    </r>
    <r>
      <rPr>
        <sz val="10"/>
        <color theme="1"/>
        <rFont val="Arial Unicode MS"/>
      </rPr>
      <t>INTERSECT</t>
    </r>
    <r>
      <rPr>
        <sz val="11"/>
        <color theme="1"/>
        <rFont val="Aptos Narrow"/>
        <family val="2"/>
      </rPr>
      <t xml:space="preserve"> to </t>
    </r>
    <r>
      <rPr>
        <sz val="10"/>
        <color theme="1"/>
        <rFont val="Arial Unicode MS"/>
      </rPr>
      <t>UNION</t>
    </r>
    <r>
      <rPr>
        <sz val="11"/>
        <color theme="1"/>
        <rFont val="Aptos Narrow"/>
        <family val="2"/>
      </rPr>
      <t xml:space="preserve">, returning seven locations instead of the empty intersection; the translator correctly executes the predicted SQL, although the gold MQL itself uses a dataset-dependent approximation of </t>
    </r>
    <r>
      <rPr>
        <sz val="10"/>
        <color theme="1"/>
        <rFont val="Arial Unicode MS"/>
      </rPr>
      <t>INTERSECT</t>
    </r>
    <r>
      <rPr>
        <sz val="11"/>
        <color theme="1"/>
        <rFont val="Aptos Narrow"/>
        <family val="2"/>
      </rPr>
      <t>.</t>
    </r>
  </si>
  <si>
    <t>For example 954, the NLQ asks for a single count, whereas the gold SQL and MQL return 14 city-name documents.</t>
  </si>
  <si>
    <r>
      <t xml:space="preserve">One DAIL prediction uses the nonexistent country value </t>
    </r>
    <r>
      <rPr>
        <sz val="10"/>
        <color theme="1"/>
        <rFont val="Arial Unicode MS"/>
      </rPr>
      <t>US</t>
    </r>
    <r>
      <rPr>
        <sz val="11"/>
        <color theme="1"/>
        <rFont val="Aptos Narrow"/>
        <family val="2"/>
      </rPr>
      <t xml:space="preserve"> and projects an extra count; another attempts to count qualifying cities but incorrectly groups by city, while the gold annotation itself returns city names despite the counting NLQ.</t>
    </r>
  </si>
  <si>
    <r>
      <t xml:space="preserve">The gold SQL orders a distinct projection by a non-projected, non-functionally-determined price, and the gold MQL incorrectly assumes that </t>
    </r>
    <r>
      <rPr>
        <sz val="10"/>
        <color theme="1"/>
        <rFont val="Arial Unicode MS"/>
      </rPr>
      <t>$group</t>
    </r>
    <r>
      <rPr>
        <sz val="11"/>
        <color theme="1"/>
        <rFont val="Aptos Narrow"/>
        <family val="2"/>
      </rPr>
      <t xml:space="preserve"> preserves a preceding </t>
    </r>
    <r>
      <rPr>
        <sz val="10"/>
        <color theme="1"/>
        <rFont val="Arial Unicode MS"/>
      </rPr>
      <t>$sort</t>
    </r>
    <r>
      <rPr>
        <sz val="11"/>
        <color theme="1"/>
        <rFont val="Aptos Narrow"/>
        <family val="2"/>
      </rPr>
      <t>. The two NLQs that omit “distinct” also do not clearly justify the gold SQL’s duplicate elimination.</t>
    </r>
  </si>
  <si>
    <r>
      <t xml:space="preserve">All five failures arise from an ambiguous gold query and nondeterministic gold MQL: MongoDB </t>
    </r>
    <r>
      <rPr>
        <sz val="10"/>
        <color theme="1"/>
        <rFont val="Arial Unicode MS"/>
      </rPr>
      <t>$group</t>
    </r>
    <r>
      <rPr>
        <sz val="11"/>
        <color theme="1"/>
        <rFont val="Aptos Narrow"/>
        <family val="2"/>
      </rPr>
      <t xml:space="preserve"> does not preserve the preceding price order, so even identical translations produce different row orders; two DAIL variants reasonably retain duplicates because their NLQs do not request distinct names.</t>
    </r>
  </si>
  <si>
    <r>
      <t xml:space="preserve">One DAIL prediction references the undeclared alias </t>
    </r>
    <r>
      <rPr>
        <sz val="10"/>
        <color theme="1"/>
        <rFont val="Arial Unicode MS"/>
      </rPr>
      <t>T3</t>
    </r>
    <r>
      <rPr>
        <sz val="11"/>
        <color theme="1"/>
        <rFont val="Aptos Narrow"/>
        <family val="2"/>
      </rPr>
      <t>, causing the translator to carry an unresolved field into the grouping pipeline; this is an invalid predicted-SQL error rather than a translator semantic defect.</t>
    </r>
  </si>
  <si>
    <t>Two DAIL predictions unnecessarily project county name and population in addition to the requested case burden, with one also adding an unrequested secondary sort; the translator correctly preserves the predicted projections and ordering.</t>
  </si>
  <si>
    <r>
      <t xml:space="preserve">Two DAIL predictions project </t>
    </r>
    <r>
      <rPr>
        <sz val="10"/>
        <color theme="1"/>
        <rFont val="Arial Unicode MS"/>
      </rPr>
      <t>COUNT(*)</t>
    </r>
    <r>
      <rPr>
        <sz val="11"/>
        <color theme="1"/>
        <rFont val="Aptos Narrow"/>
        <family val="2"/>
      </rPr>
      <t xml:space="preserve"> even though the NLQs ask only to identify majors having fewer than three students; the translator correctly returns the additional field selected by the predicted SQL.</t>
    </r>
  </si>
  <si>
    <t>The gold MQL adds an unsupported duplicate-elimination stage and destroys the ordering established before the limit.</t>
  </si>
  <si>
    <r>
      <t xml:space="preserve">All five DAIL predictions match the gold SQL, and the translator correctly returns the five oldest players’ teams in descending age order; the gold MQL adds </t>
    </r>
    <r>
      <rPr>
        <sz val="10"/>
        <color theme="1"/>
        <rFont val="Arial Unicode MS"/>
      </rPr>
      <t>$group</t>
    </r>
    <r>
      <rPr>
        <sz val="11"/>
        <color theme="1"/>
        <rFont val="Aptos Narrow"/>
        <family val="2"/>
      </rPr>
      <t xml:space="preserve"> after </t>
    </r>
    <r>
      <rPr>
        <sz val="10"/>
        <color theme="1"/>
        <rFont val="Arial Unicode MS"/>
      </rPr>
      <t>$limit</t>
    </r>
    <r>
      <rPr>
        <sz val="11"/>
        <color theme="1"/>
        <rFont val="Aptos Narrow"/>
        <family val="2"/>
      </rPr>
      <t>, which both introduces unrequested distinctness and discards the required ordering.</t>
    </r>
  </si>
  <si>
    <r>
      <t xml:space="preserve">One DAIL prediction filters subject names instead of the requested course names; the translator additionally places the disjunctive subject predicate before the required lookup and loses its joined-document path, exposing an </t>
    </r>
    <r>
      <rPr>
        <sz val="10"/>
        <color theme="1"/>
        <rFont val="Arial Unicode MS"/>
      </rPr>
      <t>OR</t>
    </r>
    <r>
      <rPr>
        <sz val="11"/>
        <color theme="1"/>
        <rFont val="Aptos Narrow"/>
        <family val="2"/>
      </rPr>
      <t xml:space="preserve"> predicate-placement defect that does not account for the benchmark failure’s underlying semantic error.</t>
    </r>
  </si>
  <si>
    <r>
      <t xml:space="preserve">All five DAIL predictions replace the required location-level exclusion with a row-level capacity test, allowing locations that also contain an over-capacity cinema and retaining duplicate locations; the translator correctly executes the predicted SQL, while its gold-SQL </t>
    </r>
    <r>
      <rPr>
        <sz val="10"/>
        <color theme="1"/>
        <rFont val="Arial Unicode MS"/>
      </rPr>
      <t>EXCEPT</t>
    </r>
    <r>
      <rPr>
        <sz val="11"/>
        <color theme="1"/>
        <rFont val="Aptos Narrow"/>
        <family val="2"/>
      </rPr>
      <t xml:space="preserve"> translation returns the intended result.</t>
    </r>
  </si>
  <si>
    <r>
      <t xml:space="preserve">The NLQ asks for product “details,” which naturally supports returning the complete record, while the gold SQL assumes that “details” means only </t>
    </r>
    <r>
      <rPr>
        <sz val="10"/>
        <color theme="1"/>
        <rFont val="Arial Unicode MS"/>
      </rPr>
      <t>product_description</t>
    </r>
    <r>
      <rPr>
        <sz val="11"/>
        <color theme="1"/>
        <rFont val="Aptos Narrow"/>
        <family val="2"/>
      </rPr>
      <t>.</t>
    </r>
  </si>
  <si>
    <t>Physical data duplication. The gold MQL converts an equality-to-minimum query, which returns every tied minimum row, into a sort-and-limit query that returns only one row.</t>
  </si>
  <si>
    <r>
      <t xml:space="preserve">Four DAIL predictions match the gold SQL, and the translator correctly returns both rows tied at the minimum age; the gold MQL incorrectly applies </t>
    </r>
    <r>
      <rPr>
        <sz val="10"/>
        <color theme="1"/>
        <rFont val="Arial Unicode MS"/>
      </rPr>
      <t>$limit: 1</t>
    </r>
    <r>
      <rPr>
        <sz val="11"/>
        <color theme="1"/>
        <rFont val="Aptos Narrow"/>
        <family val="2"/>
      </rPr>
      <t>, violating SQL bag and tie semantics.</t>
    </r>
  </si>
  <si>
    <r>
      <t xml:space="preserve">The gold annotation interprets “range” as separately returning the minimum and maximum, while DAIL reasonably interprets it as the numerical difference </t>
    </r>
    <r>
      <rPr>
        <sz val="10"/>
        <color theme="1"/>
        <rFont val="Arial Unicode MS"/>
      </rPr>
      <t>MAX − MIN</t>
    </r>
    <r>
      <rPr>
        <sz val="11"/>
        <color theme="1"/>
        <rFont val="Aptos Narrow"/>
        <family val="2"/>
      </rPr>
      <t>.</t>
    </r>
  </si>
  <si>
    <r>
      <t xml:space="preserve">One DAIL prediction reasonably calculates the requested range as </t>
    </r>
    <r>
      <rPr>
        <sz val="10"/>
        <color theme="1"/>
        <rFont val="Arial Unicode MS"/>
      </rPr>
      <t>MAX − MIN. T</t>
    </r>
    <r>
      <rPr>
        <sz val="11"/>
        <color theme="1"/>
        <rFont val="Aptos Narrow"/>
        <family val="2"/>
      </rPr>
      <t>he gold annotation separately returns maximum and minimum rather than a calculated range.</t>
    </r>
  </si>
  <si>
    <r>
      <t xml:space="preserve">Two DAIL predictions select the nonexistent </t>
    </r>
    <r>
      <rPr>
        <sz val="10"/>
        <color theme="1"/>
        <rFont val="Arial Unicode MS"/>
      </rPr>
      <t>school.Name</t>
    </r>
    <r>
      <rPr>
        <sz val="11"/>
        <color theme="1"/>
        <rFont val="Aptos Narrow"/>
        <family val="2"/>
      </rPr>
      <t xml:space="preserve"> field instead of the schema’s </t>
    </r>
    <r>
      <rPr>
        <sz val="10"/>
        <color theme="1"/>
        <rFont val="Arial Unicode MS"/>
      </rPr>
      <t>school.School</t>
    </r>
    <r>
      <rPr>
        <sz val="11"/>
        <color theme="1"/>
        <rFont val="Aptos Narrow"/>
        <family val="2"/>
      </rPr>
      <t xml:space="preserve"> column; the translator correctly executes the anti-subquery but cannot return the invalid projected field.</t>
    </r>
  </si>
  <si>
    <r>
      <t xml:space="preserve">One DAIL prediction replaces the required intersection of ships having both captain ranks with an </t>
    </r>
    <r>
      <rPr>
        <sz val="10"/>
        <color theme="1"/>
        <rFont val="Arial Unicode MS"/>
      </rPr>
      <t>OR</t>
    </r>
    <r>
      <rPr>
        <sz val="11"/>
        <color theme="1"/>
        <rFont val="Aptos Narrow"/>
        <family val="2"/>
      </rPr>
      <t xml:space="preserve"> condition that returns ships having either rank and preserves join duplicates; the translator correctly executes the predicted SQL.</t>
    </r>
  </si>
  <si>
    <t>Two DAIL predictions omit the duplicate elimination implied by requests for the available set of majors, causing the translator to correctly return all 68 student-major occurrences instead of six distinct major codes.</t>
  </si>
  <si>
    <r>
      <t xml:space="preserve">One DAIL prediction incorrectly treats the nominee as an actor and joins the </t>
    </r>
    <r>
      <rPr>
        <sz val="10"/>
        <color theme="1"/>
        <rFont val="Arial Unicode MS"/>
      </rPr>
      <t>actor</t>
    </r>
    <r>
      <rPr>
        <sz val="11"/>
        <color theme="1"/>
        <rFont val="Aptos Narrow"/>
        <family val="2"/>
      </rPr>
      <t xml:space="preserve"> relation instead of filtering </t>
    </r>
    <r>
      <rPr>
        <sz val="10"/>
        <color theme="1"/>
        <rFont val="Arial Unicode MS"/>
      </rPr>
      <t>musical.Nominee</t>
    </r>
    <r>
      <rPr>
        <sz val="11"/>
        <color theme="1"/>
        <rFont val="Aptos Narrow"/>
        <family val="2"/>
      </rPr>
      <t>; the translator correctly executes the predicted join and returns no matches.</t>
    </r>
  </si>
  <si>
    <r>
      <t xml:space="preserve">As in cluster 52, the gold MQL approximates intersection using an </t>
    </r>
    <r>
      <rPr>
        <sz val="10"/>
        <color theme="1"/>
        <rFont val="Arial Unicode MS"/>
      </rPr>
      <t>$or</t>
    </r>
    <r>
      <rPr>
        <sz val="11"/>
        <color theme="1"/>
        <rFont val="Aptos Narrow"/>
        <family val="2"/>
      </rPr>
      <t xml:space="preserve"> followed by </t>
    </r>
    <r>
      <rPr>
        <sz val="10"/>
        <color theme="1"/>
        <rFont val="Arial Unicode MS"/>
      </rPr>
      <t>count &gt; 1</t>
    </r>
    <r>
      <rPr>
        <sz val="11"/>
        <color theme="1"/>
        <rFont val="Aptos Narrow"/>
        <family val="2"/>
      </rPr>
      <t>. This is not generally equivalent because two records from only one region could satisfy the count. The translator’s gold-SQL pipeline uses an explicit set of encountered locations and is more robust.</t>
    </r>
  </si>
  <si>
    <r>
      <t xml:space="preserve">One DAIL prediction unnecessarily shifts the region condition from counties to joined cities; the translator additionally places that joined-field predicate on the root document before unwinding </t>
    </r>
    <r>
      <rPr>
        <sz val="10"/>
        <color theme="1"/>
        <rFont val="Arial Unicode MS"/>
      </rPr>
      <t>city</t>
    </r>
    <r>
      <rPr>
        <sz val="11"/>
        <color theme="1"/>
        <rFont val="Aptos Narrow"/>
        <family val="2"/>
      </rPr>
      <t>, while the gold MQL uses a dataset-dependent count approximation for intersection.</t>
    </r>
  </si>
  <si>
    <r>
      <t xml:space="preserve">The benchmark conflates </t>
    </r>
    <r>
      <rPr>
        <sz val="10"/>
        <color theme="1"/>
        <rFont val="Arial Unicode MS"/>
      </rPr>
      <t>job_id</t>
    </r>
    <r>
      <rPr>
        <sz val="11"/>
        <color theme="1"/>
        <rFont val="Aptos Narrow"/>
        <family val="2"/>
      </rPr>
      <t xml:space="preserve"> codes with human-readable job titles: one DAIL prediction consequently compares </t>
    </r>
    <r>
      <rPr>
        <sz val="10"/>
        <color theme="1"/>
        <rFont val="Arial Unicode MS"/>
      </rPr>
      <t>job_title</t>
    </r>
    <r>
      <rPr>
        <sz val="11"/>
        <color theme="1"/>
        <rFont val="Aptos Narrow"/>
        <family val="2"/>
      </rPr>
      <t xml:space="preserve"> with the code </t>
    </r>
    <r>
      <rPr>
        <sz val="10"/>
        <color theme="1"/>
        <rFont val="Arial Unicode MS"/>
      </rPr>
      <t>PU_MAN</t>
    </r>
    <r>
      <rPr>
        <sz val="11"/>
        <color theme="1"/>
        <rFont val="Aptos Narrow"/>
        <family val="2"/>
      </rPr>
      <t xml:space="preserve">, while two semantically faithful predictions return descriptive job titles but are marked incorrect because the gold query returns </t>
    </r>
    <r>
      <rPr>
        <sz val="10"/>
        <color theme="1"/>
        <rFont val="Arial Unicode MS"/>
      </rPr>
      <t>job_id</t>
    </r>
    <r>
      <rPr>
        <sz val="11"/>
        <color theme="1"/>
        <rFont val="Aptos Narrow"/>
        <family val="2"/>
      </rPr>
      <t>; no translator change is warranted.</t>
    </r>
  </si>
  <si>
    <t>One semantically correct DAIL prediction assigns descriptive aliases matching the NLQ; the translator preserves those aliases, but execution comparison fails because the gold MQL expects default aggregate field names. No translator change is warranted.</t>
  </si>
  <si>
    <t>Aggregate field names</t>
  </si>
  <si>
    <r>
      <t>One DAIL prediction projects the county name (</t>
    </r>
    <r>
      <rPr>
        <sz val="10"/>
        <color theme="1"/>
        <rFont val="Arial Unicode MS"/>
      </rPr>
      <t>T2.Name</t>
    </r>
    <r>
      <rPr>
        <sz val="11"/>
        <color theme="1"/>
        <rFont val="Aptos Narrow"/>
        <family val="2"/>
      </rPr>
      <t>) instead of the requested city name (</t>
    </r>
    <r>
      <rPr>
        <sz val="10"/>
        <color theme="1"/>
        <rFont val="Arial Unicode MS"/>
      </rPr>
      <t>T1.Name</t>
    </r>
    <r>
      <rPr>
        <sz val="11"/>
        <color theme="1"/>
        <rFont val="Aptos Narrow"/>
        <family val="2"/>
      </rPr>
      <t>); the translator faithfully executes the predicted SQL, so no translator change is warranted.</t>
    </r>
  </si>
  <si>
    <r>
      <t xml:space="preserve">One DAIL prediction interprets the building as the faculty member’s department building and introduces unnecessary </t>
    </r>
    <r>
      <rPr>
        <sz val="10"/>
        <color theme="1"/>
        <rFont val="Arial Unicode MS"/>
      </rPr>
      <t>Member_of</t>
    </r>
    <r>
      <rPr>
        <sz val="11"/>
        <color theme="1"/>
        <rFont val="Aptos Narrow"/>
        <family val="2"/>
      </rPr>
      <t xml:space="preserve"> and </t>
    </r>
    <r>
      <rPr>
        <sz val="10"/>
        <color theme="1"/>
        <rFont val="Arial Unicode MS"/>
      </rPr>
      <t>Department</t>
    </r>
    <r>
      <rPr>
        <sz val="11"/>
        <color theme="1"/>
        <rFont val="Aptos Narrow"/>
        <family val="2"/>
      </rPr>
      <t xml:space="preserve"> joins, returning 17 rather than the 15 faculty whose own </t>
    </r>
    <r>
      <rPr>
        <sz val="10"/>
        <color theme="1"/>
        <rFont val="Arial Unicode MS"/>
      </rPr>
      <t>Building</t>
    </r>
    <r>
      <rPr>
        <sz val="11"/>
        <color theme="1"/>
        <rFont val="Aptos Narrow"/>
        <family val="2"/>
      </rPr>
      <t xml:space="preserve"> value is NEB.</t>
    </r>
  </si>
  <si>
    <t>One DAIL prediction replaces advisor identifiers with non-grouped student names through an unnecessary self-join that also inflates group cardinalities; another returns the correct advisors but includes an unrequested count column.</t>
  </si>
  <si>
    <r>
      <t xml:space="preserve">One DAIL prediction omits </t>
    </r>
    <r>
      <rPr>
        <sz val="10"/>
        <color theme="1"/>
        <rFont val="Arial Unicode MS"/>
      </rPr>
      <t>Project_ID</t>
    </r>
    <r>
      <rPr>
        <sz val="11"/>
        <color theme="1"/>
        <rFont val="Aptos Narrow"/>
        <family val="2"/>
      </rPr>
      <t xml:space="preserve"> and its grouping clause, returning a single count of six BK documents instead of one count for each of the three project IDs.</t>
    </r>
  </si>
  <si>
    <r>
      <t xml:space="preserve">One DAIL prediction uses exact equality with </t>
    </r>
    <r>
      <rPr>
        <sz val="10"/>
        <color theme="1"/>
        <rFont val="Arial Unicode MS"/>
      </rPr>
      <t>New York</t>
    </r>
    <r>
      <rPr>
        <sz val="11"/>
        <color theme="1"/>
        <rFont val="Aptos Narrow"/>
        <family val="2"/>
      </rPr>
      <t xml:space="preserve"> rather than matching the </t>
    </r>
    <r>
      <rPr>
        <sz val="10"/>
        <color theme="1"/>
        <rFont val="Arial Unicode MS"/>
      </rPr>
      <t>NY</t>
    </r>
    <r>
      <rPr>
        <sz val="11"/>
        <color theme="1"/>
        <rFont val="Aptos Narrow"/>
        <family val="2"/>
      </rPr>
      <t xml:space="preserve"> abbreviation embedded in the stored location; the case also exposes that translating an empty global </t>
    </r>
    <r>
      <rPr>
        <sz val="10"/>
        <color theme="1"/>
        <rFont val="Arial Unicode MS"/>
      </rPr>
      <t>COUNT(*)</t>
    </r>
    <r>
      <rPr>
        <sz val="11"/>
        <color theme="1"/>
        <rFont val="Aptos Narrow"/>
        <family val="2"/>
      </rPr>
      <t xml:space="preserve"> with </t>
    </r>
    <r>
      <rPr>
        <sz val="10"/>
        <color theme="1"/>
        <rFont val="Arial Unicode MS"/>
      </rPr>
      <t>$count</t>
    </r>
    <r>
      <rPr>
        <sz val="11"/>
        <color theme="1"/>
        <rFont val="Aptos Narrow"/>
        <family val="2"/>
      </rPr>
      <t xml:space="preserve"> returns no document instead of the SQL result </t>
    </r>
    <r>
      <rPr>
        <sz val="10"/>
        <color theme="1"/>
        <rFont val="Arial Unicode MS"/>
      </rPr>
      <t>{count: 0}</t>
    </r>
    <r>
      <rPr>
        <sz val="11"/>
        <color theme="1"/>
        <rFont val="Aptos Narrow"/>
        <family val="2"/>
      </rPr>
      <t>.</t>
    </r>
  </si>
  <si>
    <r>
      <t xml:space="preserve">One DAIL prediction capitalizes the case-sensitive value </t>
    </r>
    <r>
      <rPr>
        <sz val="10"/>
        <color theme="1"/>
        <rFont val="Arial Unicode MS"/>
      </rPr>
      <t>animal</t>
    </r>
    <r>
      <rPr>
        <sz val="11"/>
        <color theme="1"/>
        <rFont val="Aptos Narrow"/>
        <family val="2"/>
      </rPr>
      <t xml:space="preserve"> as </t>
    </r>
    <r>
      <rPr>
        <sz val="10"/>
        <color theme="1"/>
        <rFont val="Arial Unicode MS"/>
      </rPr>
      <t>Animal</t>
    </r>
    <r>
      <rPr>
        <sz val="11"/>
        <color theme="1"/>
        <rFont val="Aptos Narrow"/>
        <family val="2"/>
      </rPr>
      <t xml:space="preserve">, producing no matches; the empty input again exposes that MongoDB </t>
    </r>
    <r>
      <rPr>
        <sz val="10"/>
        <color theme="1"/>
        <rFont val="Arial Unicode MS"/>
      </rPr>
      <t>$count</t>
    </r>
    <r>
      <rPr>
        <sz val="11"/>
        <color theme="1"/>
        <rFont val="Aptos Narrow"/>
        <family val="2"/>
      </rPr>
      <t xml:space="preserve"> returns no document instead of the SQL global-count result </t>
    </r>
    <r>
      <rPr>
        <sz val="10"/>
        <color theme="1"/>
        <rFont val="Arial Unicode MS"/>
      </rPr>
      <t>{count: 0}</t>
    </r>
    <r>
      <rPr>
        <sz val="11"/>
        <color theme="1"/>
        <rFont val="Aptos Narrow"/>
        <family val="2"/>
      </rPr>
      <t>.</t>
    </r>
  </si>
  <si>
    <r>
      <t xml:space="preserve">One DAIL prediction orders all teams by technician count but omits </t>
    </r>
    <r>
      <rPr>
        <sz val="10"/>
        <color theme="1"/>
        <rFont val="Arial Unicode MS"/>
      </rPr>
      <t>LIMIT 1</t>
    </r>
    <r>
      <rPr>
        <sz val="11"/>
        <color theme="1"/>
        <rFont val="Aptos Narrow"/>
        <family val="2"/>
      </rPr>
      <t xml:space="preserve"> and includes an unrequested count column, returning all five teams instead of only </t>
    </r>
    <r>
      <rPr>
        <sz val="10"/>
        <color theme="1"/>
        <rFont val="Arial Unicode MS"/>
      </rPr>
      <t>CLE</t>
    </r>
    <r>
      <rPr>
        <sz val="11"/>
        <color theme="1"/>
        <rFont val="Aptos Narrow"/>
        <family val="2"/>
      </rPr>
      <t>, the team with the most technicians.</t>
    </r>
  </si>
  <si>
    <r>
      <t xml:space="preserve">One DAIL prediction omits </t>
    </r>
    <r>
      <rPr>
        <sz val="10"/>
        <color theme="1"/>
        <rFont val="Arial Unicode MS"/>
      </rPr>
      <t>DISTINCT</t>
    </r>
    <r>
      <rPr>
        <sz val="11"/>
        <color theme="1"/>
        <rFont val="Aptos Narrow"/>
        <family val="2"/>
      </rPr>
      <t xml:space="preserve"> despite the request for the “various” police forces, returning three duplicate </t>
    </r>
    <r>
      <rPr>
        <sz val="10"/>
        <color theme="1"/>
        <rFont val="Arial Unicode MS"/>
      </rPr>
      <t>RCMP</t>
    </r>
    <r>
      <rPr>
        <sz val="11"/>
        <color theme="1"/>
        <rFont val="Aptos Narrow"/>
        <family val="2"/>
      </rPr>
      <t xml:space="preserve"> rows instead of one unique result.</t>
    </r>
  </si>
  <si>
    <t>Three DAIL predictions either replace the advisor identifier with unrelated person-name fields or add an unrequested count; one derived-table variant also exposes a translator defect that discards the subquery’s grouping, ordering, and limit and expands it into a 328-row student self-join.</t>
  </si>
  <si>
    <r>
      <t xml:space="preserve">Three DAIL predictions introduce an unnecessary </t>
    </r>
    <r>
      <rPr>
        <sz val="10"/>
        <color theme="1"/>
        <rFont val="Arial Unicode MS"/>
      </rPr>
      <t>station_company</t>
    </r>
    <r>
      <rPr>
        <sz val="11"/>
        <color theme="1"/>
        <rFont val="Aptos Narrow"/>
        <family val="2"/>
      </rPr>
      <t xml:space="preserve"> join or confuse station opening year with company ranking year, changing the aggregation or eliminating all matches; one example also uses the inclusive interpretation of “since 2000,” while the gold query uses </t>
    </r>
    <r>
      <rPr>
        <sz val="10"/>
        <color theme="1"/>
        <rFont val="Arial Unicode MS"/>
      </rPr>
      <t>&gt; 2000</t>
    </r>
    <r>
      <rPr>
        <sz val="11"/>
        <color theme="1"/>
        <rFont val="Aptos Narrow"/>
        <family val="2"/>
      </rPr>
      <t>.</t>
    </r>
  </si>
  <si>
    <r>
      <t xml:space="preserve">Two DAIL predictions replace the required intersection with union-like logic; one also exposes incorrect translation of OR-connected </t>
    </r>
    <r>
      <rPr>
        <sz val="10"/>
        <color theme="1"/>
        <rFont val="Arial Unicode MS"/>
      </rPr>
      <t>IN</t>
    </r>
    <r>
      <rPr>
        <sz val="11"/>
        <color theme="1"/>
        <rFont val="Aptos Narrow"/>
        <family val="2"/>
      </rPr>
      <t xml:space="preserve"> subqueries as an empty </t>
    </r>
    <r>
      <rPr>
        <sz val="10"/>
        <color theme="1"/>
        <rFont val="Arial Unicode MS"/>
      </rPr>
      <t>$or</t>
    </r>
    <r>
      <rPr>
        <sz val="11"/>
        <color theme="1"/>
        <rFont val="Aptos Narrow"/>
        <family val="2"/>
      </rPr>
      <t xml:space="preserve"> followed by sequential AND-style lookups. The gold MQL independently approximates the temporal intersection as </t>
    </r>
    <r>
      <rPr>
        <sz val="10"/>
        <color theme="1"/>
        <rFont val="Arial Unicode MS"/>
      </rPr>
      <t>COUNT(*) &gt;= 2</t>
    </r>
    <r>
      <rPr>
        <sz val="11"/>
        <color theme="1"/>
        <rFont val="Aptos Narrow"/>
        <family val="2"/>
      </rPr>
      <t>, which is only accidentally equivalent on the current data.</t>
    </r>
  </si>
  <si>
    <r>
      <t xml:space="preserve">One semantically correct DAIL prediction assigns </t>
    </r>
    <r>
      <rPr>
        <sz val="10"/>
        <color theme="1"/>
        <rFont val="Arial Unicode MS"/>
      </rPr>
      <t>youngest_age</t>
    </r>
    <r>
      <rPr>
        <sz val="11"/>
        <color theme="1"/>
        <rFont val="Aptos Narrow"/>
        <family val="2"/>
      </rPr>
      <t xml:space="preserve"> and </t>
    </r>
    <r>
      <rPr>
        <sz val="10"/>
        <color theme="1"/>
        <rFont val="Arial Unicode MS"/>
      </rPr>
      <t>oldest_age</t>
    </r>
    <r>
      <rPr>
        <sz val="11"/>
        <color theme="1"/>
        <rFont val="Aptos Narrow"/>
        <family val="2"/>
      </rPr>
      <t xml:space="preserve"> aliases that match the NLQ, but evaluation expects the gold query’s default </t>
    </r>
    <r>
      <rPr>
        <sz val="10"/>
        <color theme="1"/>
        <rFont val="Arial Unicode MS"/>
      </rPr>
      <t>min_age</t>
    </r>
    <r>
      <rPr>
        <sz val="11"/>
        <color theme="1"/>
        <rFont val="Aptos Narrow"/>
        <family val="2"/>
      </rPr>
      <t xml:space="preserve"> and </t>
    </r>
    <r>
      <rPr>
        <sz val="10"/>
        <color theme="1"/>
        <rFont val="Arial Unicode MS"/>
      </rPr>
      <t>max_age</t>
    </r>
    <r>
      <rPr>
        <sz val="11"/>
        <color theme="1"/>
        <rFont val="Aptos Narrow"/>
        <family val="2"/>
      </rPr>
      <t xml:space="preserve"> field names.</t>
    </r>
  </si>
  <si>
    <t>One DAIL prediction returns qualifying shop IDs instead of shop names; independently, the gold SQL counts stock rows while the gold MQL correctly counts distinct device IDs, with both producing the same result on the current data.</t>
  </si>
  <si>
    <r>
      <t xml:space="preserve">One DAIL prediction omits the required </t>
    </r>
    <r>
      <rPr>
        <sz val="10"/>
        <color theme="1"/>
        <rFont val="Arial Unicode MS"/>
      </rPr>
      <t>Rank = 'Professor'</t>
    </r>
    <r>
      <rPr>
        <sz val="11"/>
        <color theme="1"/>
        <rFont val="Aptos Narrow"/>
        <family val="2"/>
      </rPr>
      <t xml:space="preserve"> predicate, returning all 58 faculty first names instead of the 27 professors.</t>
    </r>
  </si>
  <si>
    <t>One DAIL prediction interprets “the count of various complaint type codes” as complaint counts grouped by type rather than the number of distinct codes; the paraphrased NLQ is ambiguous between these two aggregation grains.</t>
  </si>
  <si>
    <r>
      <t xml:space="preserve">All five examples are affected by the gold MQL typo </t>
    </r>
    <r>
      <rPr>
        <sz val="10"/>
        <color theme="1"/>
        <rFont val="Arial Unicode MS"/>
      </rPr>
      <t>max_Ggradepoint</t>
    </r>
    <r>
      <rPr>
        <sz val="11"/>
        <color theme="1"/>
        <rFont val="Aptos Narrow"/>
        <family val="2"/>
      </rPr>
      <t xml:space="preserve">, while the translator consistently produces the semantically correct </t>
    </r>
    <r>
      <rPr>
        <sz val="10"/>
        <color theme="1"/>
        <rFont val="Arial Unicode MS"/>
      </rPr>
      <t>max_gradepoint</t>
    </r>
    <r>
      <rPr>
        <sz val="11"/>
        <color theme="1"/>
        <rFont val="Aptos Narrow"/>
        <family val="2"/>
      </rPr>
      <t xml:space="preserve">; one DAIL prediction additionally replaces the required enrolment and grade-conversion joins with unrelated </t>
    </r>
    <r>
      <rPr>
        <sz val="10"/>
        <color theme="1"/>
        <rFont val="Arial Unicode MS"/>
      </rPr>
      <t>Minor_in</t>
    </r>
    <r>
      <rPr>
        <sz val="11"/>
        <color theme="1"/>
        <rFont val="Aptos Narrow"/>
        <family val="2"/>
      </rPr>
      <t xml:space="preserve"> and </t>
    </r>
    <r>
      <rPr>
        <sz val="10"/>
        <color theme="1"/>
        <rFont val="Arial Unicode MS"/>
      </rPr>
      <t>Department</t>
    </r>
    <r>
      <rPr>
        <sz val="11"/>
        <color theme="1"/>
        <rFont val="Aptos Narrow"/>
        <family val="2"/>
      </rPr>
      <t xml:space="preserve"> joins.</t>
    </r>
  </si>
  <si>
    <t>NLQ–gold SQL schema issue</t>
  </si>
  <si>
    <r>
      <t xml:space="preserve">One DAIL prediction incorrectly treats a statement labeled </t>
    </r>
    <r>
      <rPr>
        <sz val="10"/>
        <color theme="1"/>
        <rFont val="Arial Unicode MS"/>
      </rPr>
      <t>Private Project</t>
    </r>
    <r>
      <rPr>
        <sz val="11"/>
        <color theme="1"/>
        <rFont val="Aptos Narrow"/>
        <family val="2"/>
      </rPr>
      <t xml:space="preserve"> as a document type; another follows the NLQ’s explicit document-category wording, but conflicts with the gold SQL’s statement-detail interpretation.</t>
    </r>
  </si>
  <si>
    <t>Gold filter issue</t>
  </si>
  <si>
    <t>NQL Ambiguity</t>
  </si>
  <si>
    <t>One DAIL prediction identifies the correct denominations but includes an unrequested school-count column, causing an otherwise correct result to fail on output shape.</t>
  </si>
  <si>
    <r>
      <t xml:space="preserve">One DAIL prediction unnecessarily includes </t>
    </r>
    <r>
      <rPr>
        <sz val="10"/>
        <color theme="1"/>
        <rFont val="Arial Unicode MS"/>
      </rPr>
      <t>Sales_billion</t>
    </r>
    <r>
      <rPr>
        <sz val="11"/>
        <color theme="1"/>
        <rFont val="Aptos Narrow"/>
        <family val="2"/>
      </rPr>
      <t xml:space="preserve"> in the output even though the NLQ requests only company name and rank, using sales solely to determine descending order.</t>
    </r>
  </si>
  <si>
    <r>
      <t xml:space="preserve">One DAIL prediction fails to normalize the NLQ phrase </t>
    </r>
    <r>
      <rPr>
        <sz val="10"/>
        <color theme="1"/>
        <rFont val="Arial Unicode MS"/>
      </rPr>
      <t>Oil &amp; Gas</t>
    </r>
    <r>
      <rPr>
        <sz val="11"/>
        <color theme="1"/>
        <rFont val="Aptos Narrow"/>
        <family val="2"/>
      </rPr>
      <t xml:space="preserve"> to the stored value </t>
    </r>
    <r>
      <rPr>
        <sz val="10"/>
        <color theme="1"/>
        <rFont val="Arial Unicode MS"/>
      </rPr>
      <t>Oil and gas</t>
    </r>
    <r>
      <rPr>
        <sz val="11"/>
        <color theme="1"/>
        <rFont val="Aptos Narrow"/>
        <family val="2"/>
      </rPr>
      <t xml:space="preserve">; another intersects company IDs rather than headquarters and introduces an unrelated </t>
    </r>
    <r>
      <rPr>
        <sz val="10"/>
        <color theme="1"/>
        <rFont val="Arial Unicode MS"/>
      </rPr>
      <t>station_company</t>
    </r>
    <r>
      <rPr>
        <sz val="11"/>
        <color theme="1"/>
        <rFont val="Aptos Narrow"/>
        <family val="2"/>
      </rPr>
      <t xml:space="preserve"> relation, incorrectly requiring one company to belong to both industries</t>
    </r>
  </si>
  <si>
    <r>
      <t xml:space="preserve">One DAIL prediction interprets “average cost and number of cases” as </t>
    </r>
    <r>
      <rPr>
        <sz val="10"/>
        <color theme="1"/>
        <rFont val="Arial Unicode MS"/>
      </rPr>
      <t>AVG(Price)</t>
    </r>
    <r>
      <rPr>
        <sz val="11"/>
        <color theme="1"/>
        <rFont val="Aptos Narrow"/>
        <family val="2"/>
      </rPr>
      <t xml:space="preserve"> and </t>
    </r>
    <r>
      <rPr>
        <sz val="10"/>
        <color theme="1"/>
        <rFont val="Arial Unicode MS"/>
      </rPr>
      <t>SUM(Cases)</t>
    </r>
    <r>
      <rPr>
        <sz val="11"/>
        <color theme="1"/>
        <rFont val="Aptos Narrow"/>
        <family val="2"/>
      </rPr>
      <t xml:space="preserve">, while the gold SQL applies </t>
    </r>
    <r>
      <rPr>
        <sz val="10"/>
        <color theme="1"/>
        <rFont val="Arial Unicode MS"/>
      </rPr>
      <t>AVG</t>
    </r>
    <r>
      <rPr>
        <sz val="11"/>
        <color theme="1"/>
        <rFont val="Aptos Narrow"/>
        <family val="2"/>
      </rPr>
      <t xml:space="preserve"> to both fields; the values coincide because only one wine qualifies, but the aggregate field names differ.</t>
    </r>
  </si>
  <si>
    <r>
      <t xml:space="preserve">Two DAIL predictions correctly identify major </t>
    </r>
    <r>
      <rPr>
        <sz val="10"/>
        <color theme="1"/>
        <rFont val="Arial Unicode MS"/>
      </rPr>
      <t>600</t>
    </r>
    <r>
      <rPr>
        <sz val="11"/>
        <color theme="1"/>
        <rFont val="Aptos Narrow"/>
        <family val="2"/>
      </rPr>
      <t xml:space="preserve"> as having the highest enrollment but include an unrequested student-count column, causing output-shape failures.</t>
    </r>
  </si>
  <si>
    <r>
      <t xml:space="preserve">One semantically correct DAIL prediction uses the descriptive aliases </t>
    </r>
    <r>
      <rPr>
        <sz val="10"/>
        <color theme="1"/>
        <rFont val="Arial Unicode MS"/>
      </rPr>
      <t>Highest_Price</t>
    </r>
    <r>
      <rPr>
        <sz val="11"/>
        <color theme="1"/>
        <rFont val="Aptos Narrow"/>
        <family val="2"/>
      </rPr>
      <t xml:space="preserve"> and </t>
    </r>
    <r>
      <rPr>
        <sz val="10"/>
        <color theme="1"/>
        <rFont val="Arial Unicode MS"/>
      </rPr>
      <t>Highest_Score</t>
    </r>
    <r>
      <rPr>
        <sz val="11"/>
        <color theme="1"/>
        <rFont val="Aptos Narrow"/>
        <family val="2"/>
      </rPr>
      <t xml:space="preserve">, but evaluation expects the gold query’s default </t>
    </r>
    <r>
      <rPr>
        <sz val="10"/>
        <color theme="1"/>
        <rFont val="Arial Unicode MS"/>
      </rPr>
      <t>max_price</t>
    </r>
    <r>
      <rPr>
        <sz val="11"/>
        <color theme="1"/>
        <rFont val="Aptos Narrow"/>
        <family val="2"/>
      </rPr>
      <t xml:space="preserve"> and </t>
    </r>
    <r>
      <rPr>
        <sz val="10"/>
        <color theme="1"/>
        <rFont val="Arial Unicode MS"/>
      </rPr>
      <t>max_score</t>
    </r>
    <r>
      <rPr>
        <sz val="11"/>
        <color theme="1"/>
        <rFont val="Aptos Narrow"/>
        <family val="2"/>
      </rPr>
      <t xml:space="preserve"> field names.</t>
    </r>
  </si>
  <si>
    <r>
      <t xml:space="preserve">One DAIL prediction correctly translates “more than 2 employees” as </t>
    </r>
    <r>
      <rPr>
        <sz val="10"/>
        <color theme="1"/>
        <rFont val="Arial Unicode MS"/>
      </rPr>
      <t>COUNT(*) &gt; 2</t>
    </r>
    <r>
      <rPr>
        <sz val="11"/>
        <color theme="1"/>
        <rFont val="Aptos Narrow"/>
        <family val="2"/>
      </rPr>
      <t xml:space="preserve">, while the gold query uses </t>
    </r>
    <r>
      <rPr>
        <sz val="10"/>
        <color theme="1"/>
        <rFont val="Arial Unicode MS"/>
      </rPr>
      <t>&gt;= 2</t>
    </r>
    <r>
      <rPr>
        <sz val="11"/>
        <color theme="1"/>
        <rFont val="Aptos Narrow"/>
        <family val="2"/>
      </rPr>
      <t xml:space="preserve"> and incorrectly includes departments 20 and 110, which have exactly two employees</t>
    </r>
  </si>
  <si>
    <t>The predicted SQL interprets “different wines” as distinct wine names, while the gold SQL and MQL count all wine records</t>
  </si>
  <si>
    <t>DAIL adds Ship_Name despite the NLQ requesting only captain attributes</t>
  </si>
  <si>
    <t>Three DAIL predictions use the nonexistent literal '4 hours' instead of '4'; the remaining failure is caused by the gold MQL treating UNION as OR and retaining duplicate course names, while the translator correctly returns 57 distinct names.</t>
  </si>
  <si>
    <t>DAIL incorrectly assumes that Student.Advisor references another Student row and self-joins Advisor to StuID; the schema contains no advisor-name relation, while the gold SQL returns only numeric advisor IDs despite NLQs that ask who the advisors are or request their names.</t>
  </si>
  <si>
    <t>DAIL attempts to resolve advisor names by either self-joining Student or hallucinating an Advisor table, although the schema exposes only the numeric Student.Advisor field; the NLQ asks for an advisor name, but the gold SQL and MQL return advisor ID 8423.</t>
  </si>
  <si>
    <t>For NLQs referring to wine “types” or “different wines,” DAIL reasonably uses COUNT(DISTINCT Name); the translator implements it correctly, but the gold SQL and MQL use COUNT(*) and therefore include six additional wineries with repeated wine names.</t>
  </si>
  <si>
    <t>DAIL interprets “details” as SELECT * and returns the document type code, name, and description, whereas the gold SQL interprets it as the Document_Type_Description field alone; the translator faithfully preserves the predicted projection.</t>
  </si>
  <si>
    <t>DAIL adds the School field to identify the school associated with each enrollment figure, while the gold SQL projects Enrollment alone; the translator faithfully preserves the additional predicted-SQL field.</t>
  </si>
  <si>
    <t>DAIL correctly interprets “number of students” as COUNT(DISTINCT student_id), producing 6 Pass and 4 Fail students; the gold SQL and MQL instead count all test records and produce 8 and 7, including multiple tests by the same students.</t>
  </si>
  <si>
    <t>Example 1738 returns the correct rows but fails because countries tied on airline count appear in an unspecified order.</t>
  </si>
  <si>
    <t>Example 1736 now returns all 278 correctly ordered values but retains the predicted alias num_airlines instead of the gold field count</t>
  </si>
  <si>
    <t>Three DAIL predictions reverse the intended exclusion by combining NOT IN with County != 'Sonoma', thereby retaining Sonoma wines; the other two compare State against the county value 'Sonoma County' and effectively average all wines. The translator faithfully implements each predicted SQL query.</t>
  </si>
  <si>
    <t>DAIL misinterprets “the mountain scaled by the climber” as an instruction to multiply Height by Points, rather than recognizing “scaled” as a synonym for climbed; the translator correctly implements the predicted arithmetic expression.</t>
  </si>
  <si>
    <t>Four DAIL predictions omit the cinema join and identify each group using Cinema_ID rather than the cinema Name expected by the gold SQL; the translator correctly returns the requested IDs and their associated daily show-time totals.</t>
  </si>
  <si>
    <t>DAIL interprets “registered by exactly one student” as COUNT(DISTINCT student_id), correctly including Spanish despite its multiple enrollment records for one student; the gold SQL counts enrollment rows and therefore returns only Chinese Painting.</t>
  </si>
  <si>
    <t>DAIL unnecessarily joins Has_Allergy and counts student-allergy associations rather than the allergy definitions in each AllergyType category, inflating the counts from 6/14/8 to 46/56/16.</t>
  </si>
  <si>
    <t>DAIL unnecessarily joins AREA_CODE_STATE using the non-unique state field even though VOTES already contains the requested state; New York has 14 matching area-code rows, so the translator correctly returns 14 duplicate copies of the single vote.</t>
  </si>
  <si>
    <t>The gold and predicted SQL return one row per qualifying repair assignment, producing seven rows with Joe Sewell repeated five times; the gold MQL implicitly deduplicates technicians and returns only three names despite the absence of DISTINCT in the SQL.</t>
  </si>
  <si>
    <t>Benchmark NQL/SQL Error</t>
  </si>
  <si>
    <t>The gold SQL counts allergy definitions and selects environmental, while occurrence-oriented NLQs 1912 and 1914 reasonably count student-allergy associations and select animal; example 1913 also uses student data but incorrectly finds the least common individual allergy rather than aggregating occurrences by allergy type.</t>
  </si>
  <si>
    <r>
      <t xml:space="preserve">DAIL generates two semantically incorrect formulations: one joins every non-Clara employee to departmental colleagues, causing massive duplication, while the other assumes Clara’s surname is </t>
    </r>
    <r>
      <rPr>
        <sz val="10"/>
        <color theme="1"/>
        <rFont val="Arial Unicode MS"/>
      </rPr>
      <t>Clara</t>
    </r>
    <r>
      <rPr>
        <sz val="11"/>
        <color theme="1"/>
        <rFont val="Aptos Narrow"/>
        <family val="2"/>
      </rPr>
      <t xml:space="preserve"> and uses an ineffective exclusion predicate</t>
    </r>
  </si>
  <si>
    <r>
      <t xml:space="preserve">One DAIL prediction unnecessarily includes </t>
    </r>
    <r>
      <rPr>
        <sz val="10"/>
        <color theme="1"/>
        <rFont val="Arial Unicode MS"/>
      </rPr>
      <t>COUNT(*)</t>
    </r>
    <r>
      <rPr>
        <sz val="11"/>
        <color theme="1"/>
        <rFont val="Aptos Narrow"/>
        <family val="2"/>
      </rPr>
      <t xml:space="preserve"> in the output, producing an extra result field not requested by the NLQ or gold SQL.</t>
    </r>
  </si>
  <si>
    <t>One DAIL prediction treats “different airlines” as distinct airline names, collapsing two separate records that share a name and returning 237 instead of 238.</t>
  </si>
  <si>
    <t>One DAIL prediction incorrectly interprets “representatives” as bus drivers but coincidentally returns the expected school type; another unnecessarily includes the aggregate count as an output field.</t>
  </si>
  <si>
    <r>
      <t xml:space="preserve">Two DAIL predictions omit the required allergy-type join and use incorrect case or pluralization for the categorical values </t>
    </r>
    <r>
      <rPr>
        <sz val="10"/>
        <color theme="1"/>
        <rFont val="Arial Unicode MS"/>
      </rPr>
      <t>food</t>
    </r>
    <r>
      <rPr>
        <sz val="11"/>
        <color theme="1"/>
        <rFont val="Aptos Narrow"/>
        <family val="2"/>
      </rPr>
      <t xml:space="preserve"> and </t>
    </r>
    <r>
      <rPr>
        <sz val="10"/>
        <color theme="1"/>
        <rFont val="Arial Unicode MS"/>
      </rPr>
      <t>animal</t>
    </r>
    <r>
      <rPr>
        <sz val="11"/>
        <color theme="1"/>
        <rFont val="Aptos Narrow"/>
        <family val="2"/>
      </rPr>
      <t>, producing incorrect student counts.</t>
    </r>
  </si>
  <si>
    <t>One DAIL prediction groups and counts by product rather than by customer, returning the least-complained-about product; the gold SQL also contains a missing join condition and a non-grouped projected column.</t>
  </si>
  <si>
    <r>
      <t xml:space="preserve">One DAIL prediction uses the incorrectly cased categorical value </t>
    </r>
    <r>
      <rPr>
        <sz val="10"/>
        <color theme="1"/>
        <rFont val="Arial Unicode MS"/>
      </rPr>
      <t>red</t>
    </r>
    <r>
      <rPr>
        <sz val="11"/>
        <color theme="1"/>
        <rFont val="Aptos Narrow"/>
        <family val="2"/>
      </rPr>
      <t xml:space="preserve"> instead of </t>
    </r>
    <r>
      <rPr>
        <sz val="10"/>
        <color theme="1"/>
        <rFont val="Arial Unicode MS"/>
      </rPr>
      <t>Red</t>
    </r>
    <r>
      <rPr>
        <sz val="11"/>
        <color theme="1"/>
        <rFont val="Aptos Narrow"/>
        <family val="2"/>
      </rPr>
      <t>, causing an otherwise valid query to return no results.</t>
    </r>
  </si>
  <si>
    <r>
      <t xml:space="preserve">The gold references are inconsistent: two NLQs request or reasonably imply student names but the target returns IDs, while the gold MQL also preserves duplicates that the gold SQL </t>
    </r>
    <r>
      <rPr>
        <sz val="10"/>
        <color theme="1"/>
        <rFont val="Arial Unicode MS"/>
      </rPr>
      <t>EXCEPT</t>
    </r>
    <r>
      <rPr>
        <sz val="11"/>
        <color theme="1"/>
        <rFont val="Aptos Narrow"/>
        <family val="2"/>
      </rPr>
      <t xml:space="preserve"> would eliminate.</t>
    </r>
  </si>
  <si>
    <r>
      <t xml:space="preserve">One DAIL prediction maps the NLQ term “failure” to the nonexistent categorical value </t>
    </r>
    <r>
      <rPr>
        <sz val="10"/>
        <color theme="1"/>
        <rFont val="Arial Unicode MS"/>
      </rPr>
      <t>Failure</t>
    </r>
    <r>
      <rPr>
        <sz val="11"/>
        <color theme="1"/>
        <rFont val="Aptos Narrow"/>
        <family val="2"/>
      </rPr>
      <t xml:space="preserve"> rather than the stored value </t>
    </r>
    <r>
      <rPr>
        <sz val="10"/>
        <color theme="1"/>
        <rFont val="Arial Unicode MS"/>
      </rPr>
      <t>Fail</t>
    </r>
    <r>
      <rPr>
        <sz val="11"/>
        <color theme="1"/>
        <rFont val="Aptos Narrow"/>
        <family val="2"/>
      </rPr>
      <t>, producing an empty result.</t>
    </r>
  </si>
  <si>
    <t>Four DAIL predictions apply the exclusion at the company-row or company-ID level rather than the headquarters level; two also introduce an unrelated station-company relation, so mixed-industry headquarters are incorrectly retained.</t>
  </si>
  <si>
    <t>2141, 2143, 2144</t>
  </si>
  <si>
    <t>Two DAIL predictions omit the requested duplicate elimination but pass coincidentally on the current data; another replaces vote creation times with counts and groups only by state.</t>
  </si>
  <si>
    <t>One DAIL prediction treats “in 2010 and 2011” as an either-year filter rather than requiring a location represented in both years, returning six rows instead of one.</t>
  </si>
  <si>
    <t>One DAIL prediction omits duplicate elimination after grouping by department and manager, returning repeated department IDs for multiple qualifying managers.</t>
  </si>
  <si>
    <t>Three DAIL predictions appropriately include the player identifier requested or implied by the NLQs, but the gold SQL and MQL omit it and expect only team and school location.</t>
  </si>
  <si>
    <t>The gold MQL collapses multiple repair assignments involving the same technician and machine, returning eight rows even though the gold SQL preserves all nine assignment records.</t>
  </si>
  <si>
    <t>Gold MQL Error</t>
  </si>
  <si>
    <t>DAIL uses the semantically appropriate COUNT(DISTINCT Budget_Type_Code) and returns the correct value, but execution comparison fails because the benchmark expects the implementation-dependent output label count for an unaliased aggregate.</t>
  </si>
  <si>
    <r>
      <t xml:space="preserve">Two DAIL predictions mishandle the country-level conjunction: one uses </t>
    </r>
    <r>
      <rPr>
        <sz val="10"/>
        <color theme="1"/>
        <rFont val="Arial Unicode MS"/>
      </rPr>
      <t>UNION</t>
    </r>
    <r>
      <rPr>
        <sz val="11"/>
        <color theme="1"/>
        <rFont val="Aptos Narrow"/>
        <family val="2"/>
      </rPr>
      <t>, while the other applies mutually exclusive height predicates to a single mountain row; both fail to require a country with mountains in both ranges.</t>
    </r>
  </si>
  <si>
    <r>
      <t>Three DAIL predictions use incorrectly normalized string literals (</t>
    </r>
    <r>
      <rPr>
        <sz val="10"/>
        <color theme="1"/>
        <rFont val="Arial Unicode MS"/>
      </rPr>
      <t>'cat'</t>
    </r>
    <r>
      <rPr>
        <sz val="11"/>
        <color theme="1"/>
        <rFont val="Aptos Narrow"/>
        <family val="2"/>
      </rPr>
      <t xml:space="preserve"> or </t>
    </r>
    <r>
      <rPr>
        <sz val="10"/>
        <color theme="1"/>
        <rFont val="Arial Unicode MS"/>
      </rPr>
      <t>'cats'</t>
    </r>
    <r>
      <rPr>
        <sz val="11"/>
        <color theme="1"/>
        <rFont val="Aptos Narrow"/>
        <family val="2"/>
      </rPr>
      <t xml:space="preserve"> instead of the stored value </t>
    </r>
    <r>
      <rPr>
        <sz val="10"/>
        <color theme="1"/>
        <rFont val="Arial Unicode MS"/>
      </rPr>
      <t>'Cat'</t>
    </r>
    <r>
      <rPr>
        <sz val="11"/>
        <color theme="1"/>
        <rFont val="Aptos Narrow"/>
        <family val="2"/>
      </rPr>
      <t>), producing empty results under MongoDB’s case-sensitive equality comparison.</t>
    </r>
  </si>
  <si>
    <r>
      <t xml:space="preserve">One semantically valid alternative SQL formulation returns the correct count but fails because its natural </t>
    </r>
    <r>
      <rPr>
        <sz val="10"/>
        <color theme="1"/>
        <rFont val="Arial Unicode MS"/>
      </rPr>
      <t>count</t>
    </r>
    <r>
      <rPr>
        <sz val="11"/>
        <color theme="1"/>
        <rFont val="Aptos Narrow"/>
        <family val="2"/>
      </rPr>
      <t xml:space="preserve"> output label differs from the gold MQL’s unspecified </t>
    </r>
    <r>
      <rPr>
        <sz val="10"/>
        <color theme="1"/>
        <rFont val="Arial Unicode MS"/>
      </rPr>
      <t>count_DISTINCT_school_id</t>
    </r>
    <r>
      <rPr>
        <sz val="11"/>
        <color theme="1"/>
        <rFont val="Aptos Narrow"/>
        <family val="2"/>
      </rPr>
      <t xml:space="preserve"> label.</t>
    </r>
  </si>
  <si>
    <t>Two DAIL predictions omit the faculty-rank predicate and consequently return rooms for every faculty member in the NEB building rather than only professors.</t>
  </si>
  <si>
    <t>The gold MQL incorrectly substitutes each outer university’s enrollment for the global average and creates artificial duplicates; both gold and predicted SQL correctly return the three teams associated with below-average-enrollment universities.</t>
  </si>
  <si>
    <t>One DAIL prediction interprets “country” as the route destination’s country rather than the airline’s home country, introducing an unnecessary airport join and producing a substantially different grouping.</t>
  </si>
  <si>
    <r>
      <t xml:space="preserve">The malformed gold SQL forward-references </t>
    </r>
    <r>
      <rPr>
        <sz val="10"/>
        <color theme="1"/>
        <rFont val="Arial Unicode MS"/>
      </rPr>
      <t>Member_of</t>
    </r>
    <r>
      <rPr>
        <sz val="11"/>
        <color theme="1"/>
        <rFont val="Aptos Narrow"/>
        <family val="2"/>
      </rPr>
      <t xml:space="preserve"> and yields 400 duplicate rows; four DAIL predictions correctly repair the join and return 20 faculty members, while one prediction incorrectly joins department number to faculty building.</t>
    </r>
  </si>
  <si>
    <t>Gold SQL Error</t>
  </si>
  <si>
    <t>One DAIL prediction is unrelated to the NLQ, grouping allergy records by allergy type instead of grouping students by major.</t>
  </si>
  <si>
    <t>One semantically valid prediction concatenates first and last name into the requested “full name,” but the benchmark expects two separate name fields, causing an output-shape mismatch despite equivalent employee and salary information.</t>
  </si>
  <si>
    <r>
      <t xml:space="preserve">One prediction reasonably applies </t>
    </r>
    <r>
      <rPr>
        <sz val="10"/>
        <color theme="1"/>
        <rFont val="Arial Unicode MS"/>
      </rPr>
      <t>DISTINCT</t>
    </r>
    <r>
      <rPr>
        <sz val="11"/>
        <color theme="1"/>
        <rFont val="Aptos Narrow"/>
        <family val="2"/>
      </rPr>
      <t xml:space="preserve"> when listing the parties represented, returning one Democratic-party value rather than the gold SQL’s four duplicate values.</t>
    </r>
  </si>
  <si>
    <r>
      <t xml:space="preserve">One DAIL prediction omits </t>
    </r>
    <r>
      <rPr>
        <sz val="10"/>
        <color theme="1"/>
        <rFont val="Arial Unicode MS"/>
      </rPr>
      <t>DISTINCT</t>
    </r>
    <r>
      <rPr>
        <sz val="11"/>
        <color theme="1"/>
        <rFont val="Aptos Narrow"/>
        <family val="2"/>
      </rPr>
      <t xml:space="preserve"> and returns duplicate cinema locations rather than the seven unique locations requested.</t>
    </r>
  </si>
  <si>
    <t>Three DAIL predictions expose the frequency used for ordering as an additional output column, whereas the requested and gold outputs contain only the software platform names.</t>
  </si>
  <si>
    <r>
      <t xml:space="preserve">The prediction correctly counts distinct climber IDs as requested and returns the same value as the gold MQL, but fails because the gold SQL says </t>
    </r>
    <r>
      <rPr>
        <sz val="10"/>
        <color theme="1"/>
        <rFont val="Arial Unicode MS"/>
      </rPr>
      <t>COUNT(*)</t>
    </r>
    <r>
      <rPr>
        <sz val="11"/>
        <color theme="1"/>
        <rFont val="Aptos Narrow"/>
        <family val="2"/>
      </rPr>
      <t xml:space="preserve"> and the benchmark expects the arbitrary output label </t>
    </r>
    <r>
      <rPr>
        <sz val="10"/>
        <color theme="1"/>
        <rFont val="Arial Unicode MS"/>
      </rPr>
      <t>count</t>
    </r>
    <r>
      <rPr>
        <sz val="11"/>
        <color theme="1"/>
        <rFont val="Aptos Narrow"/>
        <family val="2"/>
      </rPr>
      <t>.</t>
    </r>
  </si>
  <si>
    <r>
      <t>One example exposes an NLQ–gold inconsistency (</t>
    </r>
    <r>
      <rPr>
        <sz val="10"/>
        <color theme="1"/>
        <rFont val="Arial Unicode MS"/>
      </rPr>
      <t>before 1850</t>
    </r>
    <r>
      <rPr>
        <sz val="11"/>
        <color theme="1"/>
        <rFont val="Aptos Narrow"/>
        <family val="2"/>
      </rPr>
      <t xml:space="preserve"> versus the gold predicate </t>
    </r>
    <r>
      <rPr>
        <sz val="10"/>
        <color theme="1"/>
        <rFont val="Arial Unicode MS"/>
      </rPr>
      <t>after 1850</t>
    </r>
    <r>
      <rPr>
        <sz val="11"/>
        <color theme="1"/>
        <rFont val="Aptos Narrow"/>
        <family val="2"/>
      </rPr>
      <t xml:space="preserve">), while another DAIL prediction fails to map “publicly funded” to the schema’s stored affiliation value </t>
    </r>
    <r>
      <rPr>
        <sz val="10"/>
        <color theme="1"/>
        <rFont val="Arial Unicode MS"/>
      </rPr>
      <t>Public</t>
    </r>
    <r>
      <rPr>
        <sz val="11"/>
        <color theme="1"/>
        <rFont val="Aptos Narrow"/>
        <family val="2"/>
      </rPr>
      <t>.</t>
    </r>
  </si>
  <si>
    <r>
      <t xml:space="preserve">The entire cluster depends on a nonexistent </t>
    </r>
    <r>
      <rPr>
        <sz val="10"/>
        <color theme="1"/>
        <rFont val="Arial Unicode MS"/>
      </rPr>
      <t>President_Vote</t>
    </r>
    <r>
      <rPr>
        <sz val="11"/>
        <color theme="1"/>
        <rFont val="Aptos Narrow"/>
        <family val="2"/>
      </rPr>
      <t xml:space="preserve"> field and is therefore a benchmark-schema error; four predictions also misinterpret </t>
    </r>
    <r>
      <rPr>
        <sz val="10"/>
        <color theme="1"/>
        <rFont val="Arial Unicode MS"/>
      </rPr>
      <t>8741</t>
    </r>
    <r>
      <rPr>
        <sz val="11"/>
        <color theme="1"/>
        <rFont val="Aptos Narrow"/>
        <family val="2"/>
      </rPr>
      <t xml:space="preserve"> as a vote value or omit the required advisor condition.</t>
    </r>
  </si>
  <si>
    <r>
      <t>One DAIL prediction uses conference home performance (</t>
    </r>
    <r>
      <rPr>
        <sz val="10"/>
        <color theme="1"/>
        <rFont val="Arial Unicode MS"/>
      </rPr>
      <t>ACC_Home</t>
    </r>
    <r>
      <rPr>
        <sz val="11"/>
        <color theme="1"/>
        <rFont val="Aptos Narrow"/>
        <family val="2"/>
      </rPr>
      <t>) instead of total home performance (</t>
    </r>
    <r>
      <rPr>
        <sz val="10"/>
        <color theme="1"/>
        <rFont val="Arial Unicode MS"/>
      </rPr>
      <t>All_Home</t>
    </r>
    <r>
      <rPr>
        <sz val="11"/>
        <color theme="1"/>
        <rFont val="Aptos Narrow"/>
        <family val="2"/>
      </rPr>
      <t>) and exposes the ordering field as an additional output column.</t>
    </r>
  </si>
  <si>
    <t>The gold SQL requires an airline ID that three NLQs do not request; one prediction correctly returns only the names, while two also expose route counts and group by airline name rather than airline identifier.</t>
  </si>
  <si>
    <r>
      <t xml:space="preserve">The gold MQL applies unrequested deduplication absent from the gold SQL; two matching SQL predictions are consequently penalized, while one additional prediction incorrectly omits </t>
    </r>
    <r>
      <rPr>
        <sz val="10"/>
        <color theme="1"/>
        <rFont val="Arial Unicode MS"/>
      </rPr>
      <t>DISTINCT</t>
    </r>
    <r>
      <rPr>
        <sz val="11"/>
        <color theme="1"/>
        <rFont val="Aptos Narrow"/>
        <family val="2"/>
      </rPr>
      <t xml:space="preserve"> despite its NLQ explicitly requesting unique wine names.</t>
    </r>
  </si>
  <si>
    <t>One semantically valid prediction returns each requested full name as a single concatenated field, but the benchmark requires separate first- and last-name fields.</t>
  </si>
  <si>
    <t>NLQ Ambiguity</t>
  </si>
  <si>
    <t>Two DAIL predictions reverse the temporal superlative, selecting the most recently founded university rather than the oldest university with the minimum founding year.</t>
  </si>
  <si>
    <r>
      <t xml:space="preserve">One correct prediction fails only because its meaningful </t>
    </r>
    <r>
      <rPr>
        <sz val="10"/>
        <color theme="1"/>
        <rFont val="Arial Unicode MS"/>
      </rPr>
      <t>mean_grade_point</t>
    </r>
    <r>
      <rPr>
        <sz val="11"/>
        <color theme="1"/>
        <rFont val="Aptos Narrow"/>
        <family val="2"/>
      </rPr>
      <t xml:space="preserve"> alias differs from the benchmark’s derived label, while another introduces unrelated joins and averages the wrong table reference.</t>
    </r>
  </si>
  <si>
    <t>The predicted and gold SQL correctly return both duplicate records for the oldest student, whereas the gold MQL applies an unsupported single-row limit and suppresses one duplicate.</t>
  </si>
  <si>
    <r>
      <t xml:space="preserve">One DAIL prediction treats “clean record” as a complaint outcome value and excludes only products with </t>
    </r>
    <r>
      <rPr>
        <sz val="10"/>
        <color theme="1"/>
        <rFont val="Arial Unicode MS"/>
      </rPr>
      <t>Clean</t>
    </r>
    <r>
      <rPr>
        <sz val="11"/>
        <color theme="1"/>
        <rFont val="Aptos Narrow"/>
        <family val="2"/>
      </rPr>
      <t xml:space="preserve"> complaints, rather than requiring products with no complaints at all.</t>
    </r>
  </si>
  <si>
    <t>One DAIL prediction treats “Spanish” as a subject name rather than a course name, introducing an unnecessary subject join and returning no enrollment dates.</t>
  </si>
  <si>
    <r>
      <t xml:space="preserve">The gold SQL requests distinct allergy names while the gold MQL preserves duplicates, penalizing one correct seven-name prediction; another prediction incorrectly returns the category </t>
    </r>
    <r>
      <rPr>
        <sz val="10"/>
        <color theme="1"/>
        <rFont val="Arial Unicode MS"/>
      </rPr>
      <t>food</t>
    </r>
    <r>
      <rPr>
        <sz val="11"/>
        <color theme="1"/>
        <rFont val="Aptos Narrow"/>
        <family val="2"/>
      </rPr>
      <t xml:space="preserve"> instead of the allergy names.</t>
    </r>
  </si>
  <si>
    <t>Three DAIL predictions mishandle the multi-relation intersection: one produces malformed joins, one omits the state-to-area-code relation and yields a null area code, and one changes the semantics by self-joining votes at the individual-voter level.</t>
  </si>
  <si>
    <t>158-1</t>
  </si>
  <si>
    <t>2635-2639</t>
  </si>
  <si>
    <t>All</t>
  </si>
  <si>
    <r>
      <t xml:space="preserve">All predictions return the correct three instructors, but the evaluator rejects valid permutations of three rows tied on the sole </t>
    </r>
    <r>
      <rPr>
        <sz val="10"/>
        <color theme="1"/>
        <rFont val="Arial Unicode MS"/>
      </rPr>
      <t>ORDER BY COUNT(*)</t>
    </r>
    <r>
      <rPr>
        <sz val="11"/>
        <color theme="1"/>
        <rFont val="Aptos Narrow"/>
        <family val="2"/>
      </rPr>
      <t xml:space="preserve"> key.</t>
    </r>
  </si>
  <si>
    <t>Unspecified ordering issue</t>
  </si>
  <si>
    <t>Three DAIL predictions preserve all four ships tied for the latest construction year instead of enforcing the gold query’s top-one limit; the selected gold ship is nevertheless arbitrary because no tie-breaker is specified.</t>
  </si>
  <si>
    <r>
      <t xml:space="preserve">One DAIL prediction omits the required </t>
    </r>
    <r>
      <rPr>
        <sz val="10"/>
        <color theme="1"/>
        <rFont val="Arial Unicode MS"/>
      </rPr>
      <t>employees</t>
    </r>
    <r>
      <rPr>
        <sz val="11"/>
        <color theme="1"/>
        <rFont val="Aptos Narrow"/>
        <family val="2"/>
      </rPr>
      <t>–</t>
    </r>
    <r>
      <rPr>
        <sz val="10"/>
        <color theme="1"/>
        <rFont val="Arial Unicode MS"/>
      </rPr>
      <t>jobs</t>
    </r>
    <r>
      <rPr>
        <sz val="11"/>
        <color theme="1"/>
        <rFont val="Aptos Narrow"/>
        <family val="2"/>
      </rPr>
      <t xml:space="preserve"> join and groups by a nonexistent employee-level job-title field, collapsing all employees into one null group.</t>
    </r>
  </si>
  <si>
    <r>
      <t xml:space="preserve">Four DAIL predictions omit </t>
    </r>
    <r>
      <rPr>
        <sz val="10"/>
        <color theme="1"/>
        <rFont val="Arial Unicode MS"/>
      </rPr>
      <t>DISTINCT</t>
    </r>
    <r>
      <rPr>
        <sz val="11"/>
        <color theme="1"/>
        <rFont val="Aptos Narrow"/>
        <family val="2"/>
      </rPr>
      <t xml:space="preserve"> and return 68 student-level city values instead of the 19 different cities where students reside.</t>
    </r>
  </si>
  <si>
    <r>
      <t xml:space="preserve">One DAIL prediction omits </t>
    </r>
    <r>
      <rPr>
        <sz val="10"/>
        <color theme="1"/>
        <rFont val="Arial Unicode MS"/>
      </rPr>
      <t>DISTINCT</t>
    </r>
    <r>
      <rPr>
        <sz val="11"/>
        <color theme="1"/>
        <rFont val="Aptos Narrow"/>
        <family val="2"/>
      </rPr>
      <t>, causing the employee join to return 106 repeated department names instead of the 11 departments containing employees.</t>
    </r>
  </si>
  <si>
    <r>
      <t xml:space="preserve">Three DAIL predictions omit </t>
    </r>
    <r>
      <rPr>
        <sz val="10"/>
        <color theme="1"/>
        <rFont val="Arial Unicode MS"/>
      </rPr>
      <t>DISTINCT</t>
    </r>
    <r>
      <rPr>
        <sz val="11"/>
        <color theme="1"/>
        <rFont val="Aptos Narrow"/>
        <family val="2"/>
      </rPr>
      <t xml:space="preserve"> and return repeated company-level industry values instead of the three unique main industries represented in the dataset.</t>
    </r>
  </si>
  <si>
    <t>One DAIL prediction exposes the aggregate used for ranking as an additional output field, although the NLQ requests only the country with the most active airlines.</t>
  </si>
  <si>
    <t>The gold MQL suppresses valid SQL join multiplicity by returning each editor once; four matching SQL predictions correctly return five rows because one editor belongs to two qualifying journals.</t>
  </si>
  <si>
    <r>
      <t xml:space="preserve">One DAIL prediction misinterprets “currently in the database” as an active-status condition and counts only airlines marked </t>
    </r>
    <r>
      <rPr>
        <sz val="10"/>
        <color theme="1"/>
        <rFont val="Arial Unicode MS"/>
      </rPr>
      <t>Y</t>
    </r>
    <r>
      <rPr>
        <sz val="11"/>
        <color theme="1"/>
        <rFont val="Aptos Narrow"/>
        <family val="2"/>
      </rPr>
      <t xml:space="preserve"> rather than all airline records.</t>
    </r>
  </si>
  <si>
    <r>
      <t xml:space="preserve">One DAIL prediction qualifies </t>
    </r>
    <r>
      <rPr>
        <sz val="10"/>
        <color theme="1"/>
        <rFont val="Arial Unicode MS"/>
      </rPr>
      <t>Document_ID</t>
    </r>
    <r>
      <rPr>
        <sz val="11"/>
        <color theme="1"/>
        <rFont val="Aptos Narrow"/>
        <family val="2"/>
      </rPr>
      <t xml:space="preserve"> with a table absent from the query, causing projection of a nonexistent path and returning empty documents rather than the six matching IDs.</t>
    </r>
  </si>
  <si>
    <r>
      <t xml:space="preserve">One semantically correct prediction returns the expected affiliation totals but fails solely because its meaningful </t>
    </r>
    <r>
      <rPr>
        <sz val="10"/>
        <color theme="1"/>
        <rFont val="Arial Unicode MS"/>
      </rPr>
      <t>Total_Enrollment</t>
    </r>
    <r>
      <rPr>
        <sz val="11"/>
        <color theme="1"/>
        <rFont val="Aptos Narrow"/>
        <family val="2"/>
      </rPr>
      <t xml:space="preserve"> alias differs from the benchmark’s derived </t>
    </r>
    <r>
      <rPr>
        <sz val="10"/>
        <color theme="1"/>
        <rFont val="Arial Unicode MS"/>
      </rPr>
      <t>sum_Enrollment</t>
    </r>
    <r>
      <rPr>
        <sz val="11"/>
        <color theme="1"/>
        <rFont val="Aptos Narrow"/>
        <family val="2"/>
      </rPr>
      <t xml:space="preserve"> label.</t>
    </r>
  </si>
  <si>
    <r>
      <t xml:space="preserve">One DAIL prediction maps “registered for his courses” to the student account’s </t>
    </r>
    <r>
      <rPr>
        <sz val="10"/>
        <color theme="1"/>
        <rFont val="Arial Unicode MS"/>
      </rPr>
      <t>date_of_registration</t>
    </r>
    <r>
      <rPr>
        <sz val="11"/>
        <color theme="1"/>
        <rFont val="Aptos Narrow"/>
        <family val="2"/>
      </rPr>
      <t xml:space="preserve"> rather than the course-enrolment </t>
    </r>
    <r>
      <rPr>
        <sz val="10"/>
        <color theme="1"/>
        <rFont val="Arial Unicode MS"/>
      </rPr>
      <t>date_of_enrolment</t>
    </r>
    <r>
      <rPr>
        <sz val="11"/>
        <color theme="1"/>
        <rFont val="Aptos Narrow"/>
        <family val="2"/>
      </rPr>
      <t>, returning the wrong field and date.</t>
    </r>
  </si>
  <si>
    <r>
      <t xml:space="preserve">One valid DAIL query exposes inconsistent aggregate naming between </t>
    </r>
    <r>
      <rPr>
        <sz val="10"/>
        <color theme="1"/>
        <rFont val="Arial Unicode MS"/>
      </rPr>
      <t>COUNT(StuID)</t>
    </r>
    <r>
      <rPr>
        <sz val="11"/>
        <color theme="1"/>
        <rFont val="Aptos Narrow"/>
        <family val="2"/>
      </rPr>
      <t xml:space="preserve"> and its </t>
    </r>
    <r>
      <rPr>
        <sz val="10"/>
        <color theme="1"/>
        <rFont val="Arial Unicode MS"/>
      </rPr>
      <t>HAVING</t>
    </r>
    <r>
      <rPr>
        <sz val="11"/>
        <color theme="1"/>
        <rFont val="Aptos Narrow"/>
        <family val="2"/>
      </rPr>
      <t xml:space="preserve"> predicate, while another DAIL prediction incorrectly self-joins students and returns student names rather than advisor identifiers.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</si>
</sst>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ont>
    <font>
      <sz val="10"/>
      <color theme="1"/>
      <name val="Arial Unicode MS"/>
    </font>
    <font>
      <b/>
      <sz val="11"/>
      <color rgb="FFFFFFFF"/>
      <name val="Aptos Narrow"/>
    </font>
    <font>
      <sz val="11"/>
      <color rgb="FF1F2937"/>
      <name val="Aptos Narrow"/>
    </font>
    <font>
      <b/>
      <sz val="11"/>
      <color rgb="FF1F2937"/>
      <name val="Aptos Narrow"/>
    </font>
    <font>
      <sz val="11"/>
      <color theme="1"/>
      <name val="Aptos Narrow"/>
      <family val="2"/>
    </font>
    <font>
      <b/>
      <sz val="11"/>
      <color rgb="FFFFFFFF"/>
      <name val="Aptos Narrow"/>
      <family val="2"/>
    </font>
    <font>
      <sz val="11"/>
      <color rgb="FF1F2937"/>
      <name val="Aptos Narrow"/>
      <family val="2"/>
    </font>
    <font>
      <b/>
      <sz val="11"/>
      <color rgb="FF1F2937"/>
      <name val="Aptos Narrow"/>
      <family val="2"/>
    </font>
  </fonts>
  <fills count="7">
    <fill>
      <patternFill patternType="none"/>
    </fill>
    <fill>
      <patternFill patternType="gray125"/>
    </fill>
    <fill>
      <patternFill patternType="solid">
        <fgColor rgb="FF17365D"/>
      </patternFill>
    </fill>
    <fill>
      <patternFill patternType="solid">
        <fgColor rgb="FFEEF5FB"/>
      </patternFill>
    </fill>
    <fill>
      <patternFill patternType="solid">
        <fgColor rgb="FF2F75B5"/>
      </patternFill>
    </fill>
    <fill>
      <patternFill patternType="solid">
        <fgColor rgb="FFD9EAF7"/>
      </patternFill>
    </fill>
    <fill>
      <patternFill patternType="solid">
        <fgColor rgb="FFE2F0D9"/>
      </patternFill>
    </fill>
  </fills>
  <borders count="13">
    <border>
      <left/>
      <right/>
      <top/>
      <bottom/>
      <diagonal/>
    </border>
    <border>
      <left style="thin">
        <color rgb="FF17365D"/>
      </left>
      <right/>
      <top style="thin">
        <color rgb="FF17365D"/>
      </top>
      <bottom style="thin">
        <color rgb="FF17365D"/>
      </bottom>
      <diagonal/>
    </border>
    <border>
      <left/>
      <right/>
      <top style="thin">
        <color rgb="FF17365D"/>
      </top>
      <bottom style="thin">
        <color rgb="FF17365D"/>
      </bottom>
      <diagonal/>
    </border>
    <border>
      <left/>
      <right/>
      <top/>
      <bottom style="thin">
        <color rgb="FFCBD5E1"/>
      </bottom>
      <diagonal/>
    </border>
    <border>
      <left/>
      <right/>
      <top style="thin">
        <color rgb="FFCBD5E1"/>
      </top>
      <bottom style="thin">
        <color rgb="FFCBD5E1"/>
      </bottom>
      <diagonal/>
    </border>
    <border>
      <left/>
      <right/>
      <top style="thin">
        <color rgb="FFCBD5E1"/>
      </top>
      <bottom/>
      <diagonal/>
    </border>
    <border>
      <left style="thin">
        <color rgb="FFCBD5E1"/>
      </left>
      <right/>
      <top style="thin">
        <color rgb="FFCBD5E1"/>
      </top>
      <bottom/>
      <diagonal/>
    </border>
    <border>
      <left/>
      <right style="thin">
        <color rgb="FFCBD5E1"/>
      </right>
      <top style="thin">
        <color rgb="FFCBD5E1"/>
      </top>
      <bottom/>
      <diagonal/>
    </border>
    <border>
      <left style="thin">
        <color rgb="FFCBD5E1"/>
      </left>
      <right/>
      <top/>
      <bottom style="thin">
        <color rgb="FFCBD5E1"/>
      </bottom>
      <diagonal/>
    </border>
    <border>
      <left/>
      <right style="thin">
        <color rgb="FFCBD5E1"/>
      </right>
      <top/>
      <bottom style="thin">
        <color rgb="FFCBD5E1"/>
      </bottom>
      <diagonal/>
    </border>
    <border>
      <left style="thin">
        <color rgb="FFCBD5E1"/>
      </left>
      <right/>
      <top/>
      <bottom/>
      <diagonal/>
    </border>
    <border>
      <left/>
      <right style="thin">
        <color rgb="FFCBD5E1"/>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5" fillId="0" borderId="0"/>
  </cellStyleXfs>
  <cellXfs count="57">
    <xf numFmtId="0" fontId="0" fillId="0" borderId="0" xfId="0"/>
    <xf numFmtId="0"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3" fillId="0" borderId="3" xfId="0" applyNumberFormat="1" applyFont="1" applyFill="1" applyBorder="1" applyAlignment="1">
      <alignment vertical="top" wrapText="1"/>
    </xf>
    <xf numFmtId="0" fontId="3" fillId="0" borderId="4" xfId="0" applyNumberFormat="1" applyFont="1" applyFill="1" applyBorder="1" applyAlignment="1">
      <alignment vertical="top" wrapText="1"/>
    </xf>
    <xf numFmtId="0" fontId="3" fillId="0" borderId="5" xfId="0" applyNumberFormat="1" applyFont="1" applyFill="1" applyBorder="1" applyAlignment="1">
      <alignment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xf numFmtId="0" fontId="3" fillId="0" borderId="5" xfId="0" applyNumberFormat="1" applyFont="1" applyFill="1" applyBorder="1" applyAlignment="1">
      <alignment horizontal="center" vertical="top" wrapText="1"/>
    </xf>
    <xf numFmtId="0" fontId="2" fillId="4" borderId="0" xfId="0" applyNumberFormat="1" applyFont="1" applyFill="1" applyBorder="1" applyAlignment="1">
      <alignment horizontal="center" vertical="center" wrapText="1"/>
    </xf>
    <xf numFmtId="0" fontId="3" fillId="0" borderId="12" xfId="0" applyNumberFormat="1" applyFont="1" applyFill="1" applyBorder="1" applyAlignment="1">
      <alignment vertical="center"/>
    </xf>
    <xf numFmtId="0" fontId="4" fillId="5" borderId="12" xfId="0" applyNumberFormat="1" applyFont="1" applyFill="1" applyBorder="1" applyAlignment="1">
      <alignment horizontal="center" vertical="center"/>
    </xf>
    <xf numFmtId="0" fontId="4" fillId="6" borderId="12" xfId="0" applyNumberFormat="1" applyFont="1" applyFill="1" applyBorder="1" applyAlignment="1">
      <alignment vertical="center"/>
    </xf>
    <xf numFmtId="3" fontId="3" fillId="0" borderId="12" xfId="0" applyNumberFormat="1" applyFont="1" applyFill="1" applyBorder="1" applyAlignment="1">
      <alignment horizontal="right" vertical="center"/>
    </xf>
    <xf numFmtId="10" fontId="3" fillId="0" borderId="12" xfId="0" applyNumberFormat="1" applyFont="1" applyFill="1" applyBorder="1" applyAlignment="1">
      <alignment horizontal="right" vertical="center"/>
    </xf>
    <xf numFmtId="3" fontId="4" fillId="6" borderId="12" xfId="0" applyNumberFormat="1" applyFont="1" applyFill="1" applyBorder="1" applyAlignment="1">
      <alignment horizontal="right" vertical="center"/>
    </xf>
    <xf numFmtId="0" fontId="2" fillId="2" borderId="0" xfId="0" applyNumberFormat="1" applyFont="1" applyFill="1" applyBorder="1" applyAlignment="1">
      <alignment horizontal="left" vertical="center"/>
    </xf>
    <xf numFmtId="0" fontId="2" fillId="4" borderId="0" xfId="0" applyNumberFormat="1" applyFont="1" applyFill="1" applyBorder="1" applyAlignment="1">
      <alignment vertical="center"/>
    </xf>
    <xf numFmtId="0" fontId="3" fillId="3" borderId="6" xfId="0" applyNumberFormat="1" applyFont="1" applyFill="1" applyBorder="1" applyAlignment="1">
      <alignment vertical="center" wrapText="1"/>
    </xf>
    <xf numFmtId="0" fontId="3" fillId="3" borderId="5" xfId="0" applyNumberFormat="1" applyFont="1" applyFill="1" applyBorder="1" applyAlignment="1">
      <alignment vertical="center" wrapText="1"/>
    </xf>
    <xf numFmtId="0" fontId="3" fillId="3" borderId="7" xfId="0" applyNumberFormat="1" applyFont="1" applyFill="1" applyBorder="1" applyAlignment="1">
      <alignment vertical="center" wrapText="1"/>
    </xf>
    <xf numFmtId="0" fontId="3" fillId="3" borderId="10" xfId="0" applyNumberFormat="1" applyFont="1" applyFill="1" applyBorder="1" applyAlignment="1">
      <alignment vertical="center" wrapText="1"/>
    </xf>
    <xf numFmtId="0" fontId="3" fillId="3" borderId="0" xfId="0" applyNumberFormat="1" applyFont="1" applyFill="1" applyBorder="1" applyAlignment="1">
      <alignment vertical="center" wrapText="1"/>
    </xf>
    <xf numFmtId="0" fontId="3" fillId="3" borderId="11" xfId="0" applyNumberFormat="1" applyFont="1" applyFill="1" applyBorder="1" applyAlignment="1">
      <alignment vertical="center" wrapText="1"/>
    </xf>
    <xf numFmtId="0" fontId="3" fillId="3" borderId="8" xfId="0" applyNumberFormat="1" applyFont="1" applyFill="1" applyBorder="1" applyAlignment="1">
      <alignment vertical="center" wrapText="1"/>
    </xf>
    <xf numFmtId="0" fontId="3" fillId="3" borderId="3" xfId="0" applyNumberFormat="1" applyFont="1" applyFill="1" applyBorder="1" applyAlignment="1">
      <alignment vertical="center" wrapText="1"/>
    </xf>
    <xf numFmtId="0" fontId="3" fillId="3" borderId="9" xfId="0" applyNumberFormat="1" applyFont="1" applyFill="1" applyBorder="1" applyAlignment="1">
      <alignment vertical="center" wrapText="1"/>
    </xf>
    <xf numFmtId="0" fontId="6" fillId="2" borderId="0" xfId="1" applyFont="1" applyFill="1" applyAlignment="1">
      <alignment horizontal="center" vertical="center" wrapText="1"/>
    </xf>
    <xf numFmtId="0" fontId="5" fillId="0" borderId="0" xfId="1"/>
    <xf numFmtId="0" fontId="7" fillId="0" borderId="3" xfId="1" applyFont="1" applyBorder="1" applyAlignment="1">
      <alignment horizontal="center" vertical="top" wrapText="1"/>
    </xf>
    <xf numFmtId="0" fontId="7" fillId="0" borderId="3" xfId="1" applyFont="1" applyBorder="1" applyAlignment="1">
      <alignment vertical="top" wrapText="1"/>
    </xf>
    <xf numFmtId="0" fontId="7" fillId="0" borderId="4" xfId="1" applyFont="1" applyBorder="1" applyAlignment="1">
      <alignment horizontal="center" vertical="top" wrapText="1"/>
    </xf>
    <xf numFmtId="0" fontId="7" fillId="0" borderId="4" xfId="1" applyFont="1" applyBorder="1" applyAlignment="1">
      <alignment vertical="top" wrapText="1"/>
    </xf>
    <xf numFmtId="0" fontId="7" fillId="0" borderId="5" xfId="1" applyFont="1" applyBorder="1" applyAlignment="1">
      <alignment horizontal="center" vertical="top" wrapText="1"/>
    </xf>
    <xf numFmtId="0" fontId="7" fillId="0" borderId="5" xfId="1" applyFont="1" applyBorder="1" applyAlignment="1">
      <alignment vertical="top" wrapText="1"/>
    </xf>
    <xf numFmtId="0" fontId="6" fillId="2" borderId="0" xfId="0" applyFont="1" applyFill="1" applyAlignment="1">
      <alignment horizontal="left" vertical="center"/>
    </xf>
    <xf numFmtId="0" fontId="7" fillId="3" borderId="6" xfId="0" applyFont="1" applyFill="1" applyBorder="1" applyAlignment="1">
      <alignment vertical="center" wrapText="1"/>
    </xf>
    <xf numFmtId="0" fontId="7" fillId="3" borderId="5" xfId="0" applyFont="1" applyFill="1" applyBorder="1" applyAlignment="1">
      <alignment vertical="center" wrapText="1"/>
    </xf>
    <xf numFmtId="0" fontId="7" fillId="3" borderId="7" xfId="0" applyFont="1" applyFill="1" applyBorder="1" applyAlignment="1">
      <alignment vertical="center" wrapText="1"/>
    </xf>
    <xf numFmtId="0" fontId="7" fillId="3" borderId="10" xfId="0" applyFont="1" applyFill="1" applyBorder="1" applyAlignment="1">
      <alignment vertical="center" wrapText="1"/>
    </xf>
    <xf numFmtId="0" fontId="7" fillId="3" borderId="0" xfId="0" applyFont="1" applyFill="1" applyAlignment="1">
      <alignment vertical="center" wrapText="1"/>
    </xf>
    <xf numFmtId="0" fontId="7" fillId="3" borderId="11" xfId="0" applyFont="1" applyFill="1" applyBorder="1" applyAlignment="1">
      <alignment vertical="center" wrapText="1"/>
    </xf>
    <xf numFmtId="0" fontId="7" fillId="3" borderId="8" xfId="0" applyFont="1" applyFill="1" applyBorder="1" applyAlignment="1">
      <alignment vertical="center" wrapText="1"/>
    </xf>
    <xf numFmtId="0" fontId="7" fillId="3" borderId="3" xfId="0" applyFont="1" applyFill="1" applyBorder="1" applyAlignment="1">
      <alignment vertical="center" wrapText="1"/>
    </xf>
    <xf numFmtId="0" fontId="7" fillId="3" borderId="9" xfId="0" applyFont="1" applyFill="1" applyBorder="1" applyAlignment="1">
      <alignment vertical="center" wrapText="1"/>
    </xf>
    <xf numFmtId="0" fontId="6" fillId="4" borderId="0" xfId="0" applyFont="1" applyFill="1" applyAlignment="1">
      <alignment vertical="center"/>
    </xf>
    <xf numFmtId="0" fontId="8" fillId="5" borderId="12" xfId="0" applyFont="1" applyFill="1" applyBorder="1" applyAlignment="1">
      <alignment horizontal="center" vertical="center"/>
    </xf>
    <xf numFmtId="0" fontId="7" fillId="0" borderId="12" xfId="0" applyFont="1" applyBorder="1" applyAlignment="1">
      <alignment vertical="center"/>
    </xf>
    <xf numFmtId="3" fontId="7" fillId="0" borderId="12" xfId="0" applyNumberFormat="1" applyFont="1" applyBorder="1" applyAlignment="1">
      <alignment horizontal="right" vertical="center"/>
    </xf>
    <xf numFmtId="10" fontId="7" fillId="0" borderId="12" xfId="0" applyNumberFormat="1" applyFont="1" applyBorder="1" applyAlignment="1">
      <alignment horizontal="right" vertical="center"/>
    </xf>
    <xf numFmtId="0" fontId="5" fillId="0" borderId="0" xfId="0" applyFont="1"/>
    <xf numFmtId="0" fontId="5" fillId="0" borderId="0" xfId="0" applyFont="1" applyAlignment="1">
      <alignment vertical="center" wrapText="1"/>
    </xf>
    <xf numFmtId="0" fontId="5" fillId="0" borderId="0" xfId="1" applyAlignment="1">
      <alignment wrapText="1"/>
    </xf>
    <xf numFmtId="0" fontId="5" fillId="0" borderId="0" xfId="0" applyFont="1" applyAlignment="1">
      <alignment wrapText="1"/>
    </xf>
    <xf numFmtId="0" fontId="1" fillId="0" borderId="0" xfId="0" applyFont="1"/>
    <xf numFmtId="0" fontId="1" fillId="0" borderId="0" xfId="0" applyFont="1" applyAlignment="1">
      <alignment wrapText="1"/>
    </xf>
    <xf numFmtId="0" fontId="5" fillId="0" borderId="0" xfId="0" applyFont="1" applyAlignment="1">
      <alignment horizontal="left" vertical="center" wrapText="1" indent="1"/>
    </xf>
  </cellXfs>
  <cellStyles count="2">
    <cellStyle name="Normal" xfId="0" builtinId="0"/>
    <cellStyle name="Normal 2" xfId="1" xr:uid="{BDA6FF2D-2D89-4F1A-AAA0-076745B3F0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lawrenc\Downloads\gold_pred_translation_errors_initial.xlsx" TargetMode="External"/><Relationship Id="rId1" Type="http://schemas.openxmlformats.org/officeDocument/2006/relationships/externalLinkPath" Target="/Users/rlawrenc/Downloads/gold_pred_translation_errors_init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Summary"/>
      <sheetName val="Details"/>
      <sheetName val="SQL Pred Summary"/>
      <sheetName val="SQL Pred Details"/>
    </sheetNames>
    <sheetDataSet>
      <sheetData sheetId="0"/>
      <sheetData sheetId="1"/>
      <sheetData sheetId="2"/>
      <sheetData sheetId="3"/>
      <sheetData sheetId="4">
        <row r="2">
          <cell r="A2">
            <v>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GoldTranslationFailureSummary" displayName="GoldTranslationFailureSummary" ref="A5:G27" totalsRowShown="0">
  <tableColumns count="7">
    <tableColumn id="1" xr3:uid="{00000000-0010-0000-0000-000001000000}" name="Cluster"/>
    <tableColumn id="2" xr3:uid="{00000000-0010-0000-0000-000002000000}" name="Example IDs"/>
    <tableColumn id="3" xr3:uid="{00000000-0010-0000-0000-000003000000}" name="Database"/>
    <tableColumn id="4" xr3:uid="{00000000-0010-0000-0000-000004000000}" name="Translator → gold rows"/>
    <tableColumn id="5" xr3:uid="{00000000-0010-0000-0000-000005000000}" name="Issue type"/>
    <tableColumn id="6" xr3:uid="{00000000-0010-0000-0000-000006000000}" name="Validated finding"/>
    <tableColumn id="7" xr3:uid="{00000000-0010-0000-0000-000007000000}" name="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oldTranslationFailureDetails" displayName="GoldTranslationFailureDetails" ref="A1:K23" totalsRowShown="0">
  <tableColumns count="11">
    <tableColumn id="1" xr3:uid="{00000000-0010-0000-0100-000001000000}" name="Cluster"/>
    <tableColumn id="2" xr3:uid="{00000000-0010-0000-0100-000002000000}" name="Example IDs"/>
    <tableColumn id="3" xr3:uid="{00000000-0010-0000-0100-000003000000}" name="Examples"/>
    <tableColumn id="4" xr3:uid="{00000000-0010-0000-0100-000004000000}" name="Database"/>
    <tableColumn id="5" xr3:uid="{00000000-0010-0000-0100-000005000000}" name="Representative NLQ"/>
    <tableColumn id="6" xr3:uid="{00000000-0010-0000-0100-000006000000}" name="Gold SQL"/>
    <tableColumn id="7" xr3:uid="{00000000-0010-0000-0100-000007000000}" name="Benchmark gold MQL (normalized)"/>
    <tableColumn id="8" xr3:uid="{00000000-0010-0000-0100-000008000000}" name="Translator rows"/>
    <tableColumn id="9" xr3:uid="{00000000-0010-0000-0100-000009000000}" name="Gold rows"/>
    <tableColumn id="10" xr3:uid="{00000000-0010-0000-0100-00000A000000}" name="Issue type"/>
    <tableColumn id="11" xr3:uid="{00000000-0010-0000-0100-00000B000000}" name="Validated find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95F525-AF79-4036-957F-763348801E3A}" name="SqlPredFailureFamilySummary" displayName="SqlPredFailureFamilySummary" ref="A1:O172" totalsRowShown="0">
  <tableColumns count="15">
    <tableColumn id="1" xr3:uid="{7ADEDFC5-7927-4C65-AF3E-4D812B0CCA02}" name="Review cluster"/>
    <tableColumn id="2" xr3:uid="{7D9745C5-C173-4EE4-8E30-F7FE519A497E}" name="TEND family"/>
    <tableColumn id="3" xr3:uid="{0F50DC4A-0780-41BB-B6BA-0AFC9FFFA9AE}" name="Family IDs"/>
    <tableColumn id="4" xr3:uid="{9D910311-E512-422C-A75D-F705B8A870B0}" name="Failed example IDs"/>
    <tableColumn id="5" xr3:uid="{9A01CC59-789E-4C83-8FE1-C14A86DB5C25}" name="Database"/>
    <tableColumn id="6" xr3:uid="{08DE1B84-5173-4701-8400-8D43B3ED5552}" name="Representative failed NLQ"/>
    <tableColumn id="7" xr3:uid="{8D914A06-6BC7-40F7-B08E-528A7507AB62}" name="Pred failures"/>
    <tableColumn id="8" xr3:uid="{488EC01A-7471-4EAB-874C-7C0A10425242}" name="Gold failures"/>
    <tableColumn id="9" xr3:uid="{50A61270-175D-4666-B3F2-1286F0C7F293}" name="DAIL SQL variants"/>
    <tableColumn id="10" xr3:uid="{51AB350B-C297-4A15-833B-5572CE3C0614}" name="Known gold issue"/>
    <tableColumn id="11" xr3:uid="{F937AD96-2F4D-47A0-8910-26743F2C9EB9}" name="SQL prediction errors">
      <calculatedColumnFormula>COUNTIFS('[1]SQL Pred Details'!$A$2:$A$328,A2,'[1]SQL Pred Details'!$P$2:$P$328,"Yes")</calculatedColumnFormula>
    </tableColumn>
    <tableColumn id="12" xr3:uid="{D5E3D153-D6C1-4E36-AED1-DD28C1A836D1}" name="Translator defects">
      <calculatedColumnFormula>COUNTIFS('[1]SQL Pred Details'!$A$2:$A$328,A2,'[1]SQL Pred Details'!$Q$2:$Q$328,"Yes")</calculatedColumnFormula>
    </tableColumn>
    <tableColumn id="13" xr3:uid="{6549248D-7F48-4E2A-8D19-05D8D32F7D73}" name="Reviewed failures">
      <calculatedColumnFormula>COUNTIFS('[1]SQL Pred Details'!$A$2:$A$328,A2,'[1]SQL Pred Details'!$P$2:$P$328,"&lt;&gt;Pending")</calculatedColumnFormula>
    </tableColumn>
    <tableColumn id="14" xr3:uid="{303EE06F-833E-42D9-87D5-65248B638651}" name="Status"/>
    <tableColumn id="15" xr3:uid="{68C36B57-4C80-450D-8ADF-E15B75CF2E3B}" name="Cluster find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0A9815-3AC3-4247-BF04-8FF23D4553BB}" name="SqlPredFailureDetails" displayName="SqlPredFailureDetails" ref="A1:T317" totalsRowShown="0">
  <tableColumns count="20">
    <tableColumn id="1" xr3:uid="{8EC5D6D7-39AE-4BEB-B59F-0C4C25D14A25}" name="Review cluster"/>
    <tableColumn id="2" xr3:uid="{37FD24AE-A6F7-4C4D-B8DD-45003D370F5D}" name="TEND family"/>
    <tableColumn id="3" xr3:uid="{E38968C5-3055-4E10-A248-F1652A0B5908}" name="Family IDs"/>
    <tableColumn id="4" xr3:uid="{15B79858-135F-48B6-B355-181365E1E0BA}" name="Example ID"/>
    <tableColumn id="5" xr3:uid="{7373A14A-237B-4657-89AD-E6213C480DAD}" name="Database"/>
    <tableColumn id="6" xr3:uid="{BD7BF48F-AA94-4634-8A8C-9B1EF30520E9}" name="NLQ"/>
    <tableColumn id="7" xr3:uid="{C7CD1D8D-BD56-46AD-876A-25C158EAA358}" name="Gold EX"/>
    <tableColumn id="8" xr3:uid="{2374C9B8-D15C-4E6C-B9E5-2A4DB8120A18}" name="Pred EX"/>
    <tableColumn id="9" xr3:uid="{F5CEBED8-6F19-456B-9460-D3745646CADB}" name="Gold SQL"/>
    <tableColumn id="10" xr3:uid="{45C0C65E-5CA5-4338-8F98-B5C601807FFE}" name="DAIL-predicted SQL"/>
    <tableColumn id="11" xr3:uid="{01B59AEC-3186-45FB-96F1-95EE780F45EF}" name="Translator MQL (normalized)"/>
    <tableColumn id="12" xr3:uid="{D07E3C76-D2C3-4000-B6C2-94C7F1DD11F7}" name="Benchmark gold MQL (normalized)"/>
    <tableColumn id="13" xr3:uid="{0EA49C12-DB72-49C1-8621-BB4A05737971}" name="Translator rows"/>
    <tableColumn id="14" xr3:uid="{F90F4B68-FB79-4176-A696-5374BB09D28C}" name="Gold rows"/>
    <tableColumn id="15" xr3:uid="{E8CA6841-6820-4C9D-BF39-C359CDF23130}" name="Evaluation failure bucket"/>
    <tableColumn id="16" xr3:uid="{4F1F5DF6-0334-4AE1-B132-71808E43AC4A}" name="SQL prediction error?"/>
    <tableColumn id="17" xr3:uid="{6ADF104D-BE71-430E-AB90-D35CB5F38CF1}" name="Translator defect?"/>
    <tableColumn id="18" xr3:uid="{0BE4B8F6-16A6-4CF7-BD13-0A3BB387EA76}" name="Known benchmark issue"/>
    <tableColumn id="19" xr3:uid="{B68D1DBB-5B25-41DD-A478-4D1B3C8C7DC5}" name="Final attribution"/>
    <tableColumn id="20" xr3:uid="{037F2D17-25C5-4BB1-8318-39652EC3F88D}" name="Validated find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showGridLines="0" topLeftCell="A31" workbookViewId="0">
      <selection activeCell="A54" sqref="A54:H56"/>
    </sheetView>
  </sheetViews>
  <sheetFormatPr defaultRowHeight="14.5"/>
  <cols>
    <col min="1" max="1" width="38" customWidth="1"/>
    <col min="2" max="2" width="14" customWidth="1"/>
    <col min="3" max="3" width="46" customWidth="1"/>
    <col min="4" max="8" width="14" customWidth="1"/>
    <col min="9" max="9" width="50.1796875" customWidth="1"/>
    <col min="10" max="10" width="25.54296875" customWidth="1"/>
  </cols>
  <sheetData>
    <row r="1" spans="1:8" ht="32" customHeight="1">
      <c r="A1" s="35" t="s">
        <v>1626</v>
      </c>
      <c r="B1" s="35"/>
      <c r="C1" s="35"/>
      <c r="D1" s="35"/>
      <c r="E1" s="35"/>
      <c r="F1" s="35"/>
      <c r="G1" s="35"/>
      <c r="H1" s="35"/>
    </row>
    <row r="3" spans="1:8" ht="23" customHeight="1">
      <c r="A3" s="17" t="s">
        <v>1</v>
      </c>
      <c r="B3" s="17"/>
      <c r="C3" s="17"/>
      <c r="D3" s="17"/>
      <c r="E3" s="17"/>
      <c r="F3" s="17"/>
      <c r="G3" s="17"/>
      <c r="H3" s="17"/>
    </row>
    <row r="4" spans="1:8" ht="24" customHeight="1">
      <c r="A4" s="36" t="s">
        <v>1627</v>
      </c>
      <c r="B4" s="37"/>
      <c r="C4" s="37"/>
      <c r="D4" s="37"/>
      <c r="E4" s="37"/>
      <c r="F4" s="37"/>
      <c r="G4" s="37"/>
      <c r="H4" s="38"/>
    </row>
    <row r="5" spans="1:8" ht="24" customHeight="1">
      <c r="A5" s="39"/>
      <c r="B5" s="40"/>
      <c r="C5" s="40"/>
      <c r="D5" s="40"/>
      <c r="E5" s="40"/>
      <c r="F5" s="40"/>
      <c r="G5" s="40"/>
      <c r="H5" s="41"/>
    </row>
    <row r="6" spans="1:8" ht="24" customHeight="1">
      <c r="A6" s="42"/>
      <c r="B6" s="43"/>
      <c r="C6" s="43"/>
      <c r="D6" s="43"/>
      <c r="E6" s="43"/>
      <c r="F6" s="43"/>
      <c r="G6" s="43"/>
      <c r="H6" s="44"/>
    </row>
    <row r="8" spans="1:8" ht="23" customHeight="1">
      <c r="A8" s="17" t="s">
        <v>2</v>
      </c>
      <c r="B8" s="17"/>
      <c r="C8" s="17"/>
      <c r="D8" s="17"/>
      <c r="E8" s="17"/>
      <c r="F8" s="17"/>
      <c r="G8" s="17"/>
      <c r="H8" s="17"/>
    </row>
    <row r="9" spans="1:8">
      <c r="A9" s="11" t="s">
        <v>3</v>
      </c>
      <c r="B9" s="11" t="s">
        <v>4</v>
      </c>
      <c r="C9" s="11" t="s">
        <v>5</v>
      </c>
    </row>
    <row r="10" spans="1:8">
      <c r="A10" s="10" t="s">
        <v>6</v>
      </c>
      <c r="B10" s="13">
        <v>2775</v>
      </c>
      <c r="C10" s="10" t="s">
        <v>7</v>
      </c>
    </row>
    <row r="11" spans="1:8">
      <c r="A11" s="10" t="s">
        <v>8</v>
      </c>
      <c r="B11" s="13">
        <v>2665</v>
      </c>
      <c r="C11" s="10" t="s">
        <v>9</v>
      </c>
    </row>
    <row r="12" spans="1:8">
      <c r="A12" s="10" t="s">
        <v>10</v>
      </c>
      <c r="B12" s="13">
        <v>110</v>
      </c>
      <c r="C12" s="10" t="s">
        <v>11</v>
      </c>
    </row>
    <row r="13" spans="1:8">
      <c r="A13" s="10" t="s">
        <v>12</v>
      </c>
      <c r="B13" s="13">
        <v>22</v>
      </c>
      <c r="C13" s="10" t="s">
        <v>13</v>
      </c>
    </row>
    <row r="14" spans="1:8">
      <c r="A14" s="10" t="s">
        <v>14</v>
      </c>
      <c r="B14" s="13">
        <v>5</v>
      </c>
      <c r="C14" s="10" t="s">
        <v>15</v>
      </c>
    </row>
    <row r="15" spans="1:8">
      <c r="A15" s="10" t="s">
        <v>16</v>
      </c>
      <c r="B15" s="14">
        <f>B11/B10</f>
        <v>0.96036036036036032</v>
      </c>
      <c r="C15" s="10" t="s">
        <v>17</v>
      </c>
    </row>
    <row r="17" spans="1:8" ht="23" customHeight="1">
      <c r="A17" s="17" t="s">
        <v>18</v>
      </c>
      <c r="B17" s="17"/>
      <c r="C17" s="17"/>
      <c r="D17" s="17"/>
      <c r="E17" s="17"/>
      <c r="F17" s="17"/>
      <c r="G17" s="17"/>
      <c r="H17" s="17"/>
    </row>
    <row r="18" spans="1:8" ht="26" customHeight="1">
      <c r="A18" s="18" t="s">
        <v>183</v>
      </c>
      <c r="B18" s="19"/>
      <c r="C18" s="19"/>
      <c r="D18" s="19"/>
      <c r="E18" s="19"/>
      <c r="F18" s="19"/>
      <c r="G18" s="19"/>
      <c r="H18" s="20"/>
    </row>
    <row r="19" spans="1:8" ht="22.5" customHeight="1">
      <c r="A19" s="21"/>
      <c r="B19" s="22"/>
      <c r="C19" s="22"/>
      <c r="D19" s="22"/>
      <c r="E19" s="22"/>
      <c r="F19" s="22"/>
      <c r="G19" s="22"/>
      <c r="H19" s="23"/>
    </row>
    <row r="20" spans="1:8" ht="26" hidden="1" customHeight="1">
      <c r="A20" s="24"/>
      <c r="B20" s="25"/>
      <c r="C20" s="25"/>
      <c r="D20" s="25"/>
      <c r="E20" s="25"/>
      <c r="F20" s="25"/>
      <c r="G20" s="25"/>
      <c r="H20" s="26"/>
    </row>
    <row r="22" spans="1:8" ht="23" customHeight="1">
      <c r="A22" s="17" t="s">
        <v>19</v>
      </c>
      <c r="B22" s="17"/>
      <c r="C22" s="17"/>
      <c r="D22" s="17"/>
      <c r="E22" s="17"/>
      <c r="F22" s="17"/>
      <c r="G22" s="17"/>
      <c r="H22" s="17"/>
    </row>
    <row r="23" spans="1:8">
      <c r="A23" s="11" t="s">
        <v>20</v>
      </c>
      <c r="B23" s="11" t="s">
        <v>21</v>
      </c>
      <c r="C23" s="11" t="s">
        <v>22</v>
      </c>
    </row>
    <row r="24" spans="1:8">
      <c r="A24" s="10" t="s">
        <v>23</v>
      </c>
      <c r="B24" s="13">
        <f>COUNTIF(Details!$J$2:$J$23,A24)</f>
        <v>12</v>
      </c>
      <c r="C24" s="13">
        <f t="shared" ref="C24:C29" si="0">B24*5</f>
        <v>60</v>
      </c>
    </row>
    <row r="25" spans="1:8">
      <c r="A25" s="10" t="s">
        <v>24</v>
      </c>
      <c r="B25" s="13">
        <f>COUNTIF(Details!$J$2:$J$23,A25)</f>
        <v>3</v>
      </c>
      <c r="C25" s="13">
        <f t="shared" si="0"/>
        <v>15</v>
      </c>
    </row>
    <row r="26" spans="1:8">
      <c r="A26" s="10" t="s">
        <v>25</v>
      </c>
      <c r="B26" s="13">
        <f>COUNTIF(Details!$J$2:$J$23,A26)</f>
        <v>3</v>
      </c>
      <c r="C26" s="13">
        <f t="shared" si="0"/>
        <v>15</v>
      </c>
    </row>
    <row r="27" spans="1:8">
      <c r="A27" s="10" t="s">
        <v>26</v>
      </c>
      <c r="B27" s="13">
        <f>COUNTIF(Details!$J$2:$J$23,A27)</f>
        <v>2</v>
      </c>
      <c r="C27" s="13">
        <f t="shared" si="0"/>
        <v>10</v>
      </c>
    </row>
    <row r="28" spans="1:8">
      <c r="A28" s="10" t="s">
        <v>27</v>
      </c>
      <c r="B28" s="13">
        <f>COUNTIF(Details!$J$2:$J$23,A28)</f>
        <v>1</v>
      </c>
      <c r="C28" s="13">
        <f t="shared" si="0"/>
        <v>5</v>
      </c>
    </row>
    <row r="29" spans="1:8">
      <c r="A29" s="10" t="s">
        <v>28</v>
      </c>
      <c r="B29" s="13">
        <f>COUNTIF(Details!$J$2:$J$23,A29)</f>
        <v>1</v>
      </c>
      <c r="C29" s="13">
        <f t="shared" si="0"/>
        <v>5</v>
      </c>
    </row>
    <row r="30" spans="1:8">
      <c r="A30" s="12" t="s">
        <v>29</v>
      </c>
      <c r="B30" s="15">
        <f>SUM(B24:B29)</f>
        <v>22</v>
      </c>
      <c r="C30" s="15">
        <f>SUM(C24:C29)</f>
        <v>110</v>
      </c>
    </row>
    <row r="32" spans="1:8" ht="23" customHeight="1">
      <c r="A32" s="17" t="s">
        <v>30</v>
      </c>
      <c r="B32" s="17"/>
      <c r="C32" s="17"/>
      <c r="D32" s="17"/>
      <c r="E32" s="17"/>
      <c r="F32" s="17"/>
      <c r="G32" s="17"/>
      <c r="H32" s="17"/>
    </row>
    <row r="33" spans="1:8" ht="24" customHeight="1">
      <c r="A33" s="18" t="s">
        <v>31</v>
      </c>
      <c r="B33" s="19"/>
      <c r="C33" s="19"/>
      <c r="D33" s="19"/>
      <c r="E33" s="19"/>
      <c r="F33" s="19"/>
      <c r="G33" s="19"/>
      <c r="H33" s="20"/>
    </row>
    <row r="34" spans="1:8" ht="24" customHeight="1">
      <c r="A34" s="21"/>
      <c r="B34" s="22"/>
      <c r="C34" s="22"/>
      <c r="D34" s="22"/>
      <c r="E34" s="22"/>
      <c r="F34" s="22"/>
      <c r="G34" s="22"/>
      <c r="H34" s="23"/>
    </row>
    <row r="35" spans="1:8" ht="3" customHeight="1">
      <c r="A35" s="21"/>
      <c r="B35" s="22"/>
      <c r="C35" s="22"/>
      <c r="D35" s="22"/>
      <c r="E35" s="22"/>
      <c r="F35" s="22"/>
      <c r="G35" s="22"/>
      <c r="H35" s="23"/>
    </row>
    <row r="36" spans="1:8" ht="24" hidden="1" customHeight="1">
      <c r="A36" s="24"/>
      <c r="B36" s="25"/>
      <c r="C36" s="25"/>
      <c r="D36" s="25"/>
      <c r="E36" s="25"/>
      <c r="F36" s="25"/>
      <c r="G36" s="25"/>
      <c r="H36" s="26"/>
    </row>
    <row r="38" spans="1:8" ht="23" customHeight="1">
      <c r="A38" s="17" t="s">
        <v>32</v>
      </c>
      <c r="B38" s="17"/>
      <c r="C38" s="17"/>
      <c r="D38" s="17"/>
      <c r="E38" s="17"/>
      <c r="F38" s="17"/>
      <c r="G38" s="17"/>
      <c r="H38" s="17"/>
    </row>
    <row r="39" spans="1:8" ht="24" customHeight="1">
      <c r="A39" s="18" t="s">
        <v>33</v>
      </c>
      <c r="B39" s="19"/>
      <c r="C39" s="19"/>
      <c r="D39" s="19"/>
      <c r="E39" s="19"/>
      <c r="F39" s="19"/>
      <c r="G39" s="19"/>
      <c r="H39" s="20"/>
    </row>
    <row r="40" spans="1:8" ht="24" customHeight="1">
      <c r="A40" s="21"/>
      <c r="B40" s="22"/>
      <c r="C40" s="22"/>
      <c r="D40" s="22"/>
      <c r="E40" s="22"/>
      <c r="F40" s="22"/>
      <c r="G40" s="22"/>
      <c r="H40" s="23"/>
    </row>
    <row r="41" spans="1:8" ht="1.5" customHeight="1">
      <c r="A41" s="24"/>
      <c r="B41" s="25"/>
      <c r="C41" s="25"/>
      <c r="D41" s="25"/>
      <c r="E41" s="25"/>
      <c r="F41" s="25"/>
      <c r="G41" s="25"/>
      <c r="H41" s="26"/>
    </row>
    <row r="43" spans="1:8">
      <c r="A43" s="45" t="s">
        <v>1628</v>
      </c>
      <c r="B43" s="45"/>
      <c r="C43" s="45"/>
      <c r="D43" s="45"/>
      <c r="E43" s="45"/>
      <c r="F43" s="45"/>
      <c r="G43" s="45"/>
      <c r="H43" s="45"/>
    </row>
    <row r="44" spans="1:8">
      <c r="A44" s="46" t="s">
        <v>3</v>
      </c>
      <c r="B44" s="46" t="s">
        <v>4</v>
      </c>
      <c r="C44" s="46" t="s">
        <v>5</v>
      </c>
    </row>
    <row r="45" spans="1:8">
      <c r="A45" s="47" t="s">
        <v>1629</v>
      </c>
      <c r="B45" s="48">
        <v>2448</v>
      </c>
      <c r="C45" s="47" t="s">
        <v>9</v>
      </c>
    </row>
    <row r="46" spans="1:8">
      <c r="A46" s="47" t="s">
        <v>1630</v>
      </c>
      <c r="B46" s="48">
        <v>327</v>
      </c>
      <c r="C46" s="47" t="s">
        <v>1631</v>
      </c>
    </row>
    <row r="47" spans="1:8">
      <c r="A47" s="47" t="s">
        <v>1632</v>
      </c>
      <c r="B47" s="48">
        <v>170</v>
      </c>
      <c r="C47" s="47" t="s">
        <v>1633</v>
      </c>
    </row>
    <row r="48" spans="1:8">
      <c r="A48" s="47" t="s">
        <v>1634</v>
      </c>
      <c r="B48" s="48">
        <v>252</v>
      </c>
      <c r="C48" s="47" t="s">
        <v>1635</v>
      </c>
    </row>
    <row r="49" spans="1:8">
      <c r="A49" s="47" t="s">
        <v>1636</v>
      </c>
      <c r="B49" s="48">
        <v>75</v>
      </c>
      <c r="C49" s="47" t="s">
        <v>1637</v>
      </c>
    </row>
    <row r="50" spans="1:8">
      <c r="A50" s="47" t="s">
        <v>1638</v>
      </c>
      <c r="B50" s="48">
        <v>35</v>
      </c>
      <c r="C50" s="47" t="s">
        <v>1639</v>
      </c>
    </row>
    <row r="51" spans="1:8">
      <c r="A51" s="47" t="s">
        <v>1640</v>
      </c>
      <c r="B51" s="49">
        <f>B45/B10</f>
        <v>0.88216216216216214</v>
      </c>
      <c r="C51" s="47" t="s">
        <v>17</v>
      </c>
    </row>
    <row r="52" spans="1:8">
      <c r="A52" s="47" t="s">
        <v>1641</v>
      </c>
      <c r="B52" s="48">
        <v>3</v>
      </c>
      <c r="C52" s="47" t="s">
        <v>1642</v>
      </c>
    </row>
    <row r="54" spans="1:8">
      <c r="A54" s="36" t="s">
        <v>1643</v>
      </c>
      <c r="B54" s="37"/>
      <c r="C54" s="37"/>
      <c r="D54" s="37"/>
      <c r="E54" s="37"/>
      <c r="F54" s="37"/>
      <c r="G54" s="37"/>
      <c r="H54" s="38"/>
    </row>
    <row r="55" spans="1:8">
      <c r="A55" s="39"/>
      <c r="B55" s="40"/>
      <c r="C55" s="40"/>
      <c r="D55" s="40"/>
      <c r="E55" s="40"/>
      <c r="F55" s="40"/>
      <c r="G55" s="40"/>
      <c r="H55" s="41"/>
    </row>
    <row r="56" spans="1:8">
      <c r="A56" s="42"/>
      <c r="B56" s="43"/>
      <c r="C56" s="43"/>
      <c r="D56" s="43"/>
      <c r="E56" s="43"/>
      <c r="F56" s="43"/>
      <c r="G56" s="43"/>
      <c r="H56" s="44"/>
    </row>
  </sheetData>
  <mergeCells count="13">
    <mergeCell ref="A39:H41"/>
    <mergeCell ref="A43:H43"/>
    <mergeCell ref="A54:H56"/>
    <mergeCell ref="A18:H20"/>
    <mergeCell ref="A22:H22"/>
    <mergeCell ref="A32:H32"/>
    <mergeCell ref="A33:H36"/>
    <mergeCell ref="A38:H38"/>
    <mergeCell ref="A1:H1"/>
    <mergeCell ref="A3:H3"/>
    <mergeCell ref="A4:H6"/>
    <mergeCell ref="A8:H8"/>
    <mergeCell ref="A17: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election activeCell="G5" sqref="G5"/>
    </sheetView>
  </sheetViews>
  <sheetFormatPr defaultRowHeight="14.5"/>
  <cols>
    <col min="1" max="1" width="8" customWidth="1"/>
    <col min="2" max="2" width="14" customWidth="1"/>
    <col min="3" max="3" width="22" customWidth="1"/>
    <col min="4" max="4" width="20" customWidth="1"/>
    <col min="5" max="5" width="34" customWidth="1"/>
    <col min="6" max="6" width="88" customWidth="1"/>
    <col min="7" max="7" width="27" customWidth="1"/>
  </cols>
  <sheetData>
    <row r="1" spans="1:7" ht="30" customHeight="1">
      <c r="A1" s="16" t="s">
        <v>0</v>
      </c>
      <c r="B1" s="16"/>
      <c r="C1" s="16"/>
      <c r="D1" s="16"/>
      <c r="E1" s="16"/>
      <c r="F1" s="16"/>
      <c r="G1" s="16"/>
    </row>
    <row r="2" spans="1:7" ht="28" customHeight="1">
      <c r="A2" s="18" t="s">
        <v>34</v>
      </c>
      <c r="B2" s="19"/>
      <c r="C2" s="19"/>
      <c r="D2" s="19"/>
      <c r="E2" s="19"/>
      <c r="F2" s="19"/>
      <c r="G2" s="20"/>
    </row>
    <row r="3" spans="1:7" ht="28" customHeight="1">
      <c r="A3" s="24"/>
      <c r="B3" s="25"/>
      <c r="C3" s="25"/>
      <c r="D3" s="25"/>
      <c r="E3" s="25"/>
      <c r="F3" s="25"/>
      <c r="G3" s="26"/>
    </row>
    <row r="5" spans="1:7">
      <c r="A5" s="9" t="s">
        <v>35</v>
      </c>
      <c r="B5" s="9" t="s">
        <v>36</v>
      </c>
      <c r="C5" s="9" t="s">
        <v>37</v>
      </c>
      <c r="D5" s="9" t="s">
        <v>38</v>
      </c>
      <c r="E5" s="9" t="s">
        <v>20</v>
      </c>
      <c r="F5" s="9" t="s">
        <v>39</v>
      </c>
      <c r="G5" s="9" t="s">
        <v>184</v>
      </c>
    </row>
    <row r="6" spans="1:7" ht="52" customHeight="1">
      <c r="A6" s="6">
        <v>1</v>
      </c>
      <c r="B6" s="6" t="s">
        <v>40</v>
      </c>
      <c r="C6" s="6" t="s">
        <v>41</v>
      </c>
      <c r="D6" s="6" t="s">
        <v>42</v>
      </c>
      <c r="E6" s="6" t="s">
        <v>23</v>
      </c>
      <c r="F6" s="3" t="s">
        <v>43</v>
      </c>
      <c r="G6" s="3" t="s">
        <v>44</v>
      </c>
    </row>
    <row r="7" spans="1:7" ht="52" customHeight="1">
      <c r="A7" s="7">
        <v>2</v>
      </c>
      <c r="B7" s="7" t="s">
        <v>45</v>
      </c>
      <c r="C7" s="7" t="s">
        <v>46</v>
      </c>
      <c r="D7" s="7" t="s">
        <v>47</v>
      </c>
      <c r="E7" s="7" t="s">
        <v>24</v>
      </c>
      <c r="F7" s="4" t="s">
        <v>48</v>
      </c>
      <c r="G7" s="4" t="s">
        <v>44</v>
      </c>
    </row>
    <row r="8" spans="1:7" ht="52" customHeight="1">
      <c r="A8" s="7">
        <v>3</v>
      </c>
      <c r="B8" s="7" t="s">
        <v>49</v>
      </c>
      <c r="C8" s="7" t="s">
        <v>50</v>
      </c>
      <c r="D8" s="7" t="s">
        <v>51</v>
      </c>
      <c r="E8" s="7" t="s">
        <v>25</v>
      </c>
      <c r="F8" s="4" t="s">
        <v>52</v>
      </c>
      <c r="G8" s="4" t="s">
        <v>44</v>
      </c>
    </row>
    <row r="9" spans="1:7" ht="52" customHeight="1">
      <c r="A9" s="7">
        <v>4</v>
      </c>
      <c r="B9" s="7" t="s">
        <v>53</v>
      </c>
      <c r="C9" s="7" t="s">
        <v>54</v>
      </c>
      <c r="D9" s="7" t="s">
        <v>51</v>
      </c>
      <c r="E9" s="7" t="s">
        <v>23</v>
      </c>
      <c r="F9" s="4" t="s">
        <v>55</v>
      </c>
      <c r="G9" s="4" t="s">
        <v>44</v>
      </c>
    </row>
    <row r="10" spans="1:7" ht="52" customHeight="1">
      <c r="A10" s="7">
        <v>5</v>
      </c>
      <c r="B10" s="7" t="s">
        <v>56</v>
      </c>
      <c r="C10" s="7" t="s">
        <v>57</v>
      </c>
      <c r="D10" s="7" t="s">
        <v>51</v>
      </c>
      <c r="E10" s="7" t="s">
        <v>25</v>
      </c>
      <c r="F10" s="4" t="s">
        <v>58</v>
      </c>
      <c r="G10" s="4" t="s">
        <v>44</v>
      </c>
    </row>
    <row r="11" spans="1:7" ht="52" customHeight="1">
      <c r="A11" s="7">
        <v>6</v>
      </c>
      <c r="B11" s="7" t="s">
        <v>59</v>
      </c>
      <c r="C11" s="7" t="s">
        <v>46</v>
      </c>
      <c r="D11" s="7" t="s">
        <v>60</v>
      </c>
      <c r="E11" s="7" t="s">
        <v>24</v>
      </c>
      <c r="F11" s="4" t="s">
        <v>61</v>
      </c>
      <c r="G11" s="4" t="s">
        <v>44</v>
      </c>
    </row>
    <row r="12" spans="1:7" ht="52" customHeight="1">
      <c r="A12" s="7">
        <v>7</v>
      </c>
      <c r="B12" s="7" t="s">
        <v>62</v>
      </c>
      <c r="C12" s="7" t="s">
        <v>63</v>
      </c>
      <c r="D12" s="7" t="s">
        <v>64</v>
      </c>
      <c r="E12" s="7" t="s">
        <v>23</v>
      </c>
      <c r="F12" s="4" t="s">
        <v>65</v>
      </c>
      <c r="G12" s="4" t="s">
        <v>44</v>
      </c>
    </row>
    <row r="13" spans="1:7" ht="52" customHeight="1">
      <c r="A13" s="7">
        <v>8</v>
      </c>
      <c r="B13" s="7" t="s">
        <v>66</v>
      </c>
      <c r="C13" s="7" t="s">
        <v>67</v>
      </c>
      <c r="D13" s="7" t="s">
        <v>68</v>
      </c>
      <c r="E13" s="7" t="s">
        <v>26</v>
      </c>
      <c r="F13" s="4" t="s">
        <v>69</v>
      </c>
      <c r="G13" s="4" t="s">
        <v>44</v>
      </c>
    </row>
    <row r="14" spans="1:7" ht="52" customHeight="1">
      <c r="A14" s="7">
        <v>9</v>
      </c>
      <c r="B14" s="7" t="s">
        <v>70</v>
      </c>
      <c r="C14" s="7" t="s">
        <v>41</v>
      </c>
      <c r="D14" s="7" t="s">
        <v>51</v>
      </c>
      <c r="E14" s="7" t="s">
        <v>23</v>
      </c>
      <c r="F14" s="4" t="s">
        <v>71</v>
      </c>
      <c r="G14" s="4" t="s">
        <v>44</v>
      </c>
    </row>
    <row r="15" spans="1:7" ht="52" customHeight="1">
      <c r="A15" s="7">
        <v>10</v>
      </c>
      <c r="B15" s="7" t="s">
        <v>72</v>
      </c>
      <c r="C15" s="7" t="s">
        <v>41</v>
      </c>
      <c r="D15" s="7" t="s">
        <v>73</v>
      </c>
      <c r="E15" s="7" t="s">
        <v>23</v>
      </c>
      <c r="F15" s="4" t="s">
        <v>74</v>
      </c>
      <c r="G15" s="4" t="s">
        <v>44</v>
      </c>
    </row>
    <row r="16" spans="1:7" ht="52" customHeight="1">
      <c r="A16" s="7">
        <v>11</v>
      </c>
      <c r="B16" s="7" t="s">
        <v>75</v>
      </c>
      <c r="C16" s="7" t="s">
        <v>76</v>
      </c>
      <c r="D16" s="7" t="s">
        <v>77</v>
      </c>
      <c r="E16" s="7" t="s">
        <v>23</v>
      </c>
      <c r="F16" s="4" t="s">
        <v>78</v>
      </c>
      <c r="G16" s="4" t="s">
        <v>44</v>
      </c>
    </row>
    <row r="17" spans="1:7" ht="52" customHeight="1">
      <c r="A17" s="7">
        <v>12</v>
      </c>
      <c r="B17" s="7" t="s">
        <v>79</v>
      </c>
      <c r="C17" s="7" t="s">
        <v>57</v>
      </c>
      <c r="D17" s="7" t="s">
        <v>47</v>
      </c>
      <c r="E17" s="7" t="s">
        <v>24</v>
      </c>
      <c r="F17" s="4" t="s">
        <v>80</v>
      </c>
      <c r="G17" s="4" t="s">
        <v>44</v>
      </c>
    </row>
    <row r="18" spans="1:7" ht="52" customHeight="1">
      <c r="A18" s="7">
        <v>13</v>
      </c>
      <c r="B18" s="7" t="s">
        <v>81</v>
      </c>
      <c r="C18" s="7" t="s">
        <v>67</v>
      </c>
      <c r="D18" s="7" t="s">
        <v>82</v>
      </c>
      <c r="E18" s="7" t="s">
        <v>23</v>
      </c>
      <c r="F18" s="4" t="s">
        <v>83</v>
      </c>
      <c r="G18" s="4" t="s">
        <v>44</v>
      </c>
    </row>
    <row r="19" spans="1:7" ht="52" customHeight="1">
      <c r="A19" s="7">
        <v>14</v>
      </c>
      <c r="B19" s="7" t="s">
        <v>84</v>
      </c>
      <c r="C19" s="7" t="s">
        <v>76</v>
      </c>
      <c r="D19" s="7" t="s">
        <v>85</v>
      </c>
      <c r="E19" s="7" t="s">
        <v>23</v>
      </c>
      <c r="F19" s="4" t="s">
        <v>86</v>
      </c>
      <c r="G19" s="4" t="s">
        <v>44</v>
      </c>
    </row>
    <row r="20" spans="1:7" ht="52" customHeight="1">
      <c r="A20" s="7">
        <v>15</v>
      </c>
      <c r="B20" s="7" t="s">
        <v>87</v>
      </c>
      <c r="C20" s="7" t="s">
        <v>88</v>
      </c>
      <c r="D20" s="7" t="s">
        <v>89</v>
      </c>
      <c r="E20" s="7" t="s">
        <v>23</v>
      </c>
      <c r="F20" s="4" t="s">
        <v>90</v>
      </c>
      <c r="G20" s="4" t="s">
        <v>44</v>
      </c>
    </row>
    <row r="21" spans="1:7" ht="52" customHeight="1">
      <c r="A21" s="7">
        <v>16</v>
      </c>
      <c r="B21" s="7" t="s">
        <v>91</v>
      </c>
      <c r="C21" s="7" t="s">
        <v>92</v>
      </c>
      <c r="D21" s="7" t="s">
        <v>93</v>
      </c>
      <c r="E21" s="7" t="s">
        <v>23</v>
      </c>
      <c r="F21" s="4" t="s">
        <v>94</v>
      </c>
      <c r="G21" s="4" t="s">
        <v>44</v>
      </c>
    </row>
    <row r="22" spans="1:7" ht="52" customHeight="1">
      <c r="A22" s="7">
        <v>17</v>
      </c>
      <c r="B22" s="7" t="s">
        <v>95</v>
      </c>
      <c r="C22" s="7" t="s">
        <v>96</v>
      </c>
      <c r="D22" s="7" t="s">
        <v>47</v>
      </c>
      <c r="E22" s="7" t="s">
        <v>27</v>
      </c>
      <c r="F22" s="4" t="s">
        <v>97</v>
      </c>
      <c r="G22" s="4" t="s">
        <v>44</v>
      </c>
    </row>
    <row r="23" spans="1:7" ht="52" customHeight="1">
      <c r="A23" s="7">
        <v>18</v>
      </c>
      <c r="B23" s="7" t="s">
        <v>98</v>
      </c>
      <c r="C23" s="7" t="s">
        <v>46</v>
      </c>
      <c r="D23" s="7" t="s">
        <v>99</v>
      </c>
      <c r="E23" s="7" t="s">
        <v>28</v>
      </c>
      <c r="F23" s="4" t="s">
        <v>100</v>
      </c>
      <c r="G23" s="4" t="s">
        <v>44</v>
      </c>
    </row>
    <row r="24" spans="1:7" ht="52" customHeight="1">
      <c r="A24" s="7">
        <v>19</v>
      </c>
      <c r="B24" s="7" t="s">
        <v>101</v>
      </c>
      <c r="C24" s="7" t="s">
        <v>67</v>
      </c>
      <c r="D24" s="7" t="s">
        <v>68</v>
      </c>
      <c r="E24" s="7" t="s">
        <v>26</v>
      </c>
      <c r="F24" s="4" t="s">
        <v>102</v>
      </c>
      <c r="G24" s="4" t="s">
        <v>44</v>
      </c>
    </row>
    <row r="25" spans="1:7" ht="52" customHeight="1">
      <c r="A25" s="7">
        <v>20</v>
      </c>
      <c r="B25" s="7" t="s">
        <v>103</v>
      </c>
      <c r="C25" s="7" t="s">
        <v>67</v>
      </c>
      <c r="D25" s="7" t="s">
        <v>104</v>
      </c>
      <c r="E25" s="7" t="s">
        <v>23</v>
      </c>
      <c r="F25" s="4" t="s">
        <v>105</v>
      </c>
      <c r="G25" s="4" t="s">
        <v>44</v>
      </c>
    </row>
    <row r="26" spans="1:7" ht="52" customHeight="1">
      <c r="A26" s="7">
        <v>21</v>
      </c>
      <c r="B26" s="7" t="s">
        <v>106</v>
      </c>
      <c r="C26" s="7" t="s">
        <v>41</v>
      </c>
      <c r="D26" s="7" t="s">
        <v>107</v>
      </c>
      <c r="E26" s="7" t="s">
        <v>25</v>
      </c>
      <c r="F26" s="4" t="s">
        <v>108</v>
      </c>
      <c r="G26" s="4" t="s">
        <v>44</v>
      </c>
    </row>
    <row r="27" spans="1:7" ht="52" customHeight="1">
      <c r="A27" s="8">
        <v>22</v>
      </c>
      <c r="B27" s="8" t="s">
        <v>109</v>
      </c>
      <c r="C27" s="8" t="s">
        <v>50</v>
      </c>
      <c r="D27" s="8" t="s">
        <v>110</v>
      </c>
      <c r="E27" s="8" t="s">
        <v>23</v>
      </c>
      <c r="F27" s="5" t="s">
        <v>111</v>
      </c>
      <c r="G27" s="5" t="s">
        <v>44</v>
      </c>
    </row>
  </sheetData>
  <mergeCells count="2">
    <mergeCell ref="A1:G1"/>
    <mergeCell ref="A2:G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showGridLines="0" topLeftCell="A21" workbookViewId="0">
      <selection activeCell="A23" sqref="A23"/>
    </sheetView>
  </sheetViews>
  <sheetFormatPr defaultRowHeight="14.5"/>
  <cols>
    <col min="1" max="1" width="8" customWidth="1"/>
    <col min="2" max="2" width="14" customWidth="1"/>
    <col min="3" max="3" width="10" customWidth="1"/>
    <col min="4" max="4" width="22" customWidth="1"/>
    <col min="5" max="5" width="48" customWidth="1"/>
    <col min="6" max="6" width="72" customWidth="1"/>
    <col min="7" max="7" width="96" customWidth="1"/>
    <col min="8" max="9" width="13" customWidth="1"/>
    <col min="10" max="10" width="34" customWidth="1"/>
    <col min="11" max="11" width="72" customWidth="1"/>
  </cols>
  <sheetData>
    <row r="1" spans="1:11" ht="34" customHeight="1">
      <c r="A1" s="1" t="s">
        <v>35</v>
      </c>
      <c r="B1" s="2" t="s">
        <v>36</v>
      </c>
      <c r="C1" s="2" t="s">
        <v>22</v>
      </c>
      <c r="D1" s="2" t="s">
        <v>37</v>
      </c>
      <c r="E1" s="2" t="s">
        <v>112</v>
      </c>
      <c r="F1" s="2" t="s">
        <v>113</v>
      </c>
      <c r="G1" s="2" t="s">
        <v>114</v>
      </c>
      <c r="H1" s="2" t="s">
        <v>115</v>
      </c>
      <c r="I1" s="2" t="s">
        <v>116</v>
      </c>
      <c r="J1" s="2" t="s">
        <v>20</v>
      </c>
      <c r="K1" s="2" t="s">
        <v>39</v>
      </c>
    </row>
    <row r="2" spans="1:11" ht="105" customHeight="1">
      <c r="A2" s="6">
        <v>1</v>
      </c>
      <c r="B2" s="6" t="s">
        <v>40</v>
      </c>
      <c r="C2" s="6">
        <v>5</v>
      </c>
      <c r="D2" s="6" t="s">
        <v>41</v>
      </c>
      <c r="E2" s="3" t="s">
        <v>117</v>
      </c>
      <c r="F2" s="3" t="s">
        <v>118</v>
      </c>
      <c r="G2" s="3" t="s">
        <v>119</v>
      </c>
      <c r="H2" s="6">
        <v>17</v>
      </c>
      <c r="I2" s="6">
        <v>23</v>
      </c>
      <c r="J2" s="6" t="s">
        <v>23</v>
      </c>
      <c r="K2" s="3" t="s">
        <v>43</v>
      </c>
    </row>
    <row r="3" spans="1:11" ht="105" customHeight="1">
      <c r="A3" s="7">
        <v>2</v>
      </c>
      <c r="B3" s="7" t="s">
        <v>45</v>
      </c>
      <c r="C3" s="7">
        <v>5</v>
      </c>
      <c r="D3" s="7" t="s">
        <v>46</v>
      </c>
      <c r="E3" s="4" t="s">
        <v>120</v>
      </c>
      <c r="F3" s="4" t="s">
        <v>121</v>
      </c>
      <c r="G3" s="4" t="s">
        <v>122</v>
      </c>
      <c r="H3" s="7">
        <v>0</v>
      </c>
      <c r="I3" s="7">
        <v>1</v>
      </c>
      <c r="J3" s="7" t="s">
        <v>24</v>
      </c>
      <c r="K3" s="4" t="s">
        <v>48</v>
      </c>
    </row>
    <row r="4" spans="1:11" ht="105" customHeight="1">
      <c r="A4" s="7">
        <v>3</v>
      </c>
      <c r="B4" s="7" t="s">
        <v>49</v>
      </c>
      <c r="C4" s="7">
        <v>5</v>
      </c>
      <c r="D4" s="7" t="s">
        <v>50</v>
      </c>
      <c r="E4" s="4" t="s">
        <v>123</v>
      </c>
      <c r="F4" s="4" t="s">
        <v>124</v>
      </c>
      <c r="G4" s="4" t="s">
        <v>125</v>
      </c>
      <c r="H4" s="7">
        <v>1</v>
      </c>
      <c r="I4" s="7">
        <v>1</v>
      </c>
      <c r="J4" s="7" t="s">
        <v>25</v>
      </c>
      <c r="K4" s="4" t="s">
        <v>52</v>
      </c>
    </row>
    <row r="5" spans="1:11" ht="105" customHeight="1">
      <c r="A5" s="7">
        <v>4</v>
      </c>
      <c r="B5" s="7" t="s">
        <v>53</v>
      </c>
      <c r="C5" s="7">
        <v>5</v>
      </c>
      <c r="D5" s="7" t="s">
        <v>54</v>
      </c>
      <c r="E5" s="4" t="s">
        <v>126</v>
      </c>
      <c r="F5" s="4" t="s">
        <v>127</v>
      </c>
      <c r="G5" s="4" t="s">
        <v>128</v>
      </c>
      <c r="H5" s="7">
        <v>1</v>
      </c>
      <c r="I5" s="7">
        <v>1</v>
      </c>
      <c r="J5" s="7" t="s">
        <v>23</v>
      </c>
      <c r="K5" s="4" t="s">
        <v>55</v>
      </c>
    </row>
    <row r="6" spans="1:11" ht="105" customHeight="1">
      <c r="A6" s="7">
        <v>5</v>
      </c>
      <c r="B6" s="7" t="s">
        <v>56</v>
      </c>
      <c r="C6" s="7">
        <v>5</v>
      </c>
      <c r="D6" s="7" t="s">
        <v>57</v>
      </c>
      <c r="E6" s="4" t="s">
        <v>129</v>
      </c>
      <c r="F6" s="4" t="s">
        <v>130</v>
      </c>
      <c r="G6" s="4" t="s">
        <v>131</v>
      </c>
      <c r="H6" s="7">
        <v>1</v>
      </c>
      <c r="I6" s="7">
        <v>1</v>
      </c>
      <c r="J6" s="7" t="s">
        <v>25</v>
      </c>
      <c r="K6" s="4" t="s">
        <v>58</v>
      </c>
    </row>
    <row r="7" spans="1:11" ht="105" customHeight="1">
      <c r="A7" s="7">
        <v>6</v>
      </c>
      <c r="B7" s="7" t="s">
        <v>59</v>
      </c>
      <c r="C7" s="7">
        <v>5</v>
      </c>
      <c r="D7" s="7" t="s">
        <v>46</v>
      </c>
      <c r="E7" s="4" t="s">
        <v>132</v>
      </c>
      <c r="F7" s="4" t="s">
        <v>133</v>
      </c>
      <c r="G7" s="4" t="s">
        <v>134</v>
      </c>
      <c r="H7" s="7">
        <v>294</v>
      </c>
      <c r="I7" s="7">
        <v>294</v>
      </c>
      <c r="J7" s="7" t="s">
        <v>24</v>
      </c>
      <c r="K7" s="4" t="s">
        <v>61</v>
      </c>
    </row>
    <row r="8" spans="1:11" ht="105" customHeight="1">
      <c r="A8" s="7">
        <v>7</v>
      </c>
      <c r="B8" s="7" t="s">
        <v>62</v>
      </c>
      <c r="C8" s="7">
        <v>5</v>
      </c>
      <c r="D8" s="7" t="s">
        <v>63</v>
      </c>
      <c r="E8" s="4" t="s">
        <v>135</v>
      </c>
      <c r="F8" s="4" t="s">
        <v>136</v>
      </c>
      <c r="G8" s="4" t="s">
        <v>137</v>
      </c>
      <c r="H8" s="7">
        <v>5</v>
      </c>
      <c r="I8" s="7">
        <v>5</v>
      </c>
      <c r="J8" s="7" t="s">
        <v>23</v>
      </c>
      <c r="K8" s="4" t="s">
        <v>65</v>
      </c>
    </row>
    <row r="9" spans="1:11" ht="105" customHeight="1">
      <c r="A9" s="7">
        <v>8</v>
      </c>
      <c r="B9" s="7" t="s">
        <v>66</v>
      </c>
      <c r="C9" s="7">
        <v>5</v>
      </c>
      <c r="D9" s="7" t="s">
        <v>67</v>
      </c>
      <c r="E9" s="4" t="s">
        <v>138</v>
      </c>
      <c r="F9" s="4" t="s">
        <v>139</v>
      </c>
      <c r="G9" s="4" t="s">
        <v>140</v>
      </c>
      <c r="H9" s="7">
        <v>2</v>
      </c>
      <c r="I9" s="7">
        <v>1</v>
      </c>
      <c r="J9" s="7" t="s">
        <v>26</v>
      </c>
      <c r="K9" s="4" t="s">
        <v>69</v>
      </c>
    </row>
    <row r="10" spans="1:11" ht="105" customHeight="1">
      <c r="A10" s="7">
        <v>9</v>
      </c>
      <c r="B10" s="7" t="s">
        <v>70</v>
      </c>
      <c r="C10" s="7">
        <v>5</v>
      </c>
      <c r="D10" s="7" t="s">
        <v>41</v>
      </c>
      <c r="E10" s="4" t="s">
        <v>141</v>
      </c>
      <c r="F10" s="4" t="s">
        <v>142</v>
      </c>
      <c r="G10" s="4" t="s">
        <v>143</v>
      </c>
      <c r="H10" s="7">
        <v>1</v>
      </c>
      <c r="I10" s="7">
        <v>1</v>
      </c>
      <c r="J10" s="7" t="s">
        <v>23</v>
      </c>
      <c r="K10" s="4" t="s">
        <v>71</v>
      </c>
    </row>
    <row r="11" spans="1:11" ht="105" customHeight="1">
      <c r="A11" s="7">
        <v>10</v>
      </c>
      <c r="B11" s="7" t="s">
        <v>72</v>
      </c>
      <c r="C11" s="7">
        <v>5</v>
      </c>
      <c r="D11" s="7" t="s">
        <v>41</v>
      </c>
      <c r="E11" s="4" t="s">
        <v>144</v>
      </c>
      <c r="F11" s="4" t="s">
        <v>145</v>
      </c>
      <c r="G11" s="4" t="s">
        <v>146</v>
      </c>
      <c r="H11" s="7">
        <v>57</v>
      </c>
      <c r="I11" s="7">
        <v>60</v>
      </c>
      <c r="J11" s="7" t="s">
        <v>23</v>
      </c>
      <c r="K11" s="4" t="s">
        <v>74</v>
      </c>
    </row>
    <row r="12" spans="1:11" ht="105" customHeight="1">
      <c r="A12" s="7">
        <v>11</v>
      </c>
      <c r="B12" s="7" t="s">
        <v>75</v>
      </c>
      <c r="C12" s="7">
        <v>5</v>
      </c>
      <c r="D12" s="7" t="s">
        <v>76</v>
      </c>
      <c r="E12" s="4" t="s">
        <v>147</v>
      </c>
      <c r="F12" s="4" t="s">
        <v>148</v>
      </c>
      <c r="G12" s="4" t="s">
        <v>149</v>
      </c>
      <c r="H12" s="7">
        <v>7</v>
      </c>
      <c r="I12" s="7">
        <v>3</v>
      </c>
      <c r="J12" s="7" t="s">
        <v>23</v>
      </c>
      <c r="K12" s="4" t="s">
        <v>78</v>
      </c>
    </row>
    <row r="13" spans="1:11" ht="105" customHeight="1">
      <c r="A13" s="7">
        <v>12</v>
      </c>
      <c r="B13" s="7" t="s">
        <v>79</v>
      </c>
      <c r="C13" s="7">
        <v>5</v>
      </c>
      <c r="D13" s="7" t="s">
        <v>57</v>
      </c>
      <c r="E13" s="4" t="s">
        <v>150</v>
      </c>
      <c r="F13" s="4" t="s">
        <v>151</v>
      </c>
      <c r="G13" s="4" t="s">
        <v>152</v>
      </c>
      <c r="H13" s="7">
        <v>0</v>
      </c>
      <c r="I13" s="7">
        <v>1</v>
      </c>
      <c r="J13" s="7" t="s">
        <v>24</v>
      </c>
      <c r="K13" s="4" t="s">
        <v>80</v>
      </c>
    </row>
    <row r="14" spans="1:11" ht="105" customHeight="1">
      <c r="A14" s="7">
        <v>13</v>
      </c>
      <c r="B14" s="7" t="s">
        <v>81</v>
      </c>
      <c r="C14" s="7">
        <v>5</v>
      </c>
      <c r="D14" s="7" t="s">
        <v>67</v>
      </c>
      <c r="E14" s="4" t="s">
        <v>153</v>
      </c>
      <c r="F14" s="4" t="s">
        <v>154</v>
      </c>
      <c r="G14" s="4" t="s">
        <v>155</v>
      </c>
      <c r="H14" s="7">
        <v>5</v>
      </c>
      <c r="I14" s="7">
        <v>10</v>
      </c>
      <c r="J14" s="7" t="s">
        <v>23</v>
      </c>
      <c r="K14" s="4" t="s">
        <v>83</v>
      </c>
    </row>
    <row r="15" spans="1:11" ht="105" customHeight="1">
      <c r="A15" s="7">
        <v>14</v>
      </c>
      <c r="B15" s="7" t="s">
        <v>84</v>
      </c>
      <c r="C15" s="7">
        <v>5</v>
      </c>
      <c r="D15" s="7" t="s">
        <v>76</v>
      </c>
      <c r="E15" s="4" t="s">
        <v>156</v>
      </c>
      <c r="F15" s="4" t="s">
        <v>157</v>
      </c>
      <c r="G15" s="4" t="s">
        <v>158</v>
      </c>
      <c r="H15" s="7">
        <v>9</v>
      </c>
      <c r="I15" s="7">
        <v>8</v>
      </c>
      <c r="J15" s="7" t="s">
        <v>23</v>
      </c>
      <c r="K15" s="4" t="s">
        <v>86</v>
      </c>
    </row>
    <row r="16" spans="1:11" ht="105" customHeight="1">
      <c r="A16" s="7">
        <v>15</v>
      </c>
      <c r="B16" s="7" t="s">
        <v>87</v>
      </c>
      <c r="C16" s="7">
        <v>5</v>
      </c>
      <c r="D16" s="7" t="s">
        <v>88</v>
      </c>
      <c r="E16" s="4" t="s">
        <v>159</v>
      </c>
      <c r="F16" s="4" t="s">
        <v>160</v>
      </c>
      <c r="G16" s="4" t="s">
        <v>161</v>
      </c>
      <c r="H16" s="7">
        <v>3</v>
      </c>
      <c r="I16" s="7">
        <v>8</v>
      </c>
      <c r="J16" s="7" t="s">
        <v>23</v>
      </c>
      <c r="K16" s="4" t="s">
        <v>90</v>
      </c>
    </row>
    <row r="17" spans="1:11" ht="105" customHeight="1">
      <c r="A17" s="7">
        <v>16</v>
      </c>
      <c r="B17" s="7" t="s">
        <v>91</v>
      </c>
      <c r="C17" s="7">
        <v>5</v>
      </c>
      <c r="D17" s="7" t="s">
        <v>92</v>
      </c>
      <c r="E17" s="4" t="s">
        <v>162</v>
      </c>
      <c r="F17" s="4" t="s">
        <v>163</v>
      </c>
      <c r="G17" s="4" t="s">
        <v>164</v>
      </c>
      <c r="H17" s="7">
        <v>22</v>
      </c>
      <c r="I17" s="7">
        <v>23</v>
      </c>
      <c r="J17" s="7" t="s">
        <v>23</v>
      </c>
      <c r="K17" s="4" t="s">
        <v>94</v>
      </c>
    </row>
    <row r="18" spans="1:11" ht="105" customHeight="1">
      <c r="A18" s="7">
        <v>17</v>
      </c>
      <c r="B18" s="7" t="s">
        <v>95</v>
      </c>
      <c r="C18" s="7">
        <v>5</v>
      </c>
      <c r="D18" s="7" t="s">
        <v>96</v>
      </c>
      <c r="E18" s="4" t="s">
        <v>165</v>
      </c>
      <c r="F18" s="4" t="s">
        <v>166</v>
      </c>
      <c r="G18" s="4" t="s">
        <v>167</v>
      </c>
      <c r="H18" s="7">
        <v>0</v>
      </c>
      <c r="I18" s="7">
        <v>1</v>
      </c>
      <c r="J18" s="7" t="s">
        <v>27</v>
      </c>
      <c r="K18" s="4" t="s">
        <v>185</v>
      </c>
    </row>
    <row r="19" spans="1:11" ht="105" customHeight="1">
      <c r="A19" s="7">
        <v>18</v>
      </c>
      <c r="B19" s="7" t="s">
        <v>98</v>
      </c>
      <c r="C19" s="7">
        <v>5</v>
      </c>
      <c r="D19" s="7" t="s">
        <v>46</v>
      </c>
      <c r="E19" s="4" t="s">
        <v>168</v>
      </c>
      <c r="F19" s="4" t="s">
        <v>169</v>
      </c>
      <c r="G19" s="4" t="s">
        <v>170</v>
      </c>
      <c r="H19" s="7">
        <v>239</v>
      </c>
      <c r="I19" s="7">
        <v>163</v>
      </c>
      <c r="J19" s="7" t="s">
        <v>28</v>
      </c>
      <c r="K19" s="4" t="s">
        <v>100</v>
      </c>
    </row>
    <row r="20" spans="1:11" ht="105" customHeight="1">
      <c r="A20" s="7">
        <v>19</v>
      </c>
      <c r="B20" s="7" t="s">
        <v>101</v>
      </c>
      <c r="C20" s="7">
        <v>5</v>
      </c>
      <c r="D20" s="7" t="s">
        <v>67</v>
      </c>
      <c r="E20" s="4" t="s">
        <v>171</v>
      </c>
      <c r="F20" s="4" t="s">
        <v>172</v>
      </c>
      <c r="G20" s="4" t="s">
        <v>173</v>
      </c>
      <c r="H20" s="7">
        <v>2</v>
      </c>
      <c r="I20" s="7">
        <v>1</v>
      </c>
      <c r="J20" s="7" t="s">
        <v>26</v>
      </c>
      <c r="K20" s="4" t="s">
        <v>102</v>
      </c>
    </row>
    <row r="21" spans="1:11" ht="105" customHeight="1">
      <c r="A21" s="7">
        <v>20</v>
      </c>
      <c r="B21" s="7" t="s">
        <v>103</v>
      </c>
      <c r="C21" s="7">
        <v>5</v>
      </c>
      <c r="D21" s="7" t="s">
        <v>67</v>
      </c>
      <c r="E21" s="4" t="s">
        <v>174</v>
      </c>
      <c r="F21" s="4" t="s">
        <v>175</v>
      </c>
      <c r="G21" s="4" t="s">
        <v>176</v>
      </c>
      <c r="H21" s="7">
        <v>7</v>
      </c>
      <c r="I21" s="7">
        <v>14</v>
      </c>
      <c r="J21" s="7" t="s">
        <v>23</v>
      </c>
      <c r="K21" s="4" t="s">
        <v>105</v>
      </c>
    </row>
    <row r="22" spans="1:11" ht="105" customHeight="1">
      <c r="A22" s="7">
        <v>21</v>
      </c>
      <c r="B22" s="7" t="s">
        <v>106</v>
      </c>
      <c r="C22" s="7">
        <v>5</v>
      </c>
      <c r="D22" s="7" t="s">
        <v>41</v>
      </c>
      <c r="E22" s="4" t="s">
        <v>177</v>
      </c>
      <c r="F22" s="4" t="s">
        <v>178</v>
      </c>
      <c r="G22" s="4" t="s">
        <v>179</v>
      </c>
      <c r="H22" s="7">
        <v>3</v>
      </c>
      <c r="I22" s="7">
        <v>3</v>
      </c>
      <c r="J22" s="7" t="s">
        <v>25</v>
      </c>
      <c r="K22" s="4" t="s">
        <v>108</v>
      </c>
    </row>
    <row r="23" spans="1:11" ht="105" customHeight="1">
      <c r="A23" s="8">
        <v>22</v>
      </c>
      <c r="B23" s="8" t="s">
        <v>109</v>
      </c>
      <c r="C23" s="8">
        <v>5</v>
      </c>
      <c r="D23" s="8" t="s">
        <v>50</v>
      </c>
      <c r="E23" s="5" t="s">
        <v>180</v>
      </c>
      <c r="F23" s="5" t="s">
        <v>181</v>
      </c>
      <c r="G23" s="5" t="s">
        <v>182</v>
      </c>
      <c r="H23" s="8">
        <v>5</v>
      </c>
      <c r="I23" s="8">
        <v>4</v>
      </c>
      <c r="J23" s="8" t="s">
        <v>23</v>
      </c>
      <c r="K23" s="5" t="s">
        <v>111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26961-F22C-476F-BF52-4C269392DEED}">
  <dimension ref="A1:O172"/>
  <sheetViews>
    <sheetView showGridLines="0" tabSelected="1" topLeftCell="A161" zoomScale="80" zoomScaleNormal="80" workbookViewId="0">
      <selection activeCell="H171" sqref="H171"/>
    </sheetView>
  </sheetViews>
  <sheetFormatPr defaultRowHeight="14.5"/>
  <cols>
    <col min="1" max="1" width="12" style="28" customWidth="1"/>
    <col min="2" max="2" width="11" style="28" customWidth="1"/>
    <col min="3" max="3" width="13" style="28" customWidth="1"/>
    <col min="4" max="4" width="22" style="28" customWidth="1"/>
    <col min="5" max="5" width="21" style="28" customWidth="1"/>
    <col min="6" max="6" width="48" style="28" customWidth="1"/>
    <col min="7" max="8" width="12" style="28" customWidth="1"/>
    <col min="9" max="9" width="14" style="28" customWidth="1"/>
    <col min="10" max="10" width="31" style="28" customWidth="1"/>
    <col min="11" max="11" width="16" style="28" customWidth="1"/>
    <col min="12" max="13" width="15" style="28" customWidth="1"/>
    <col min="14" max="14" width="18" style="28" customWidth="1"/>
    <col min="15" max="15" width="72" style="28" customWidth="1"/>
    <col min="16" max="16384" width="8.7265625" style="28"/>
  </cols>
  <sheetData>
    <row r="1" spans="1:15" ht="38" customHeight="1">
      <c r="A1" s="27" t="s">
        <v>186</v>
      </c>
      <c r="B1" s="27" t="s">
        <v>187</v>
      </c>
      <c r="C1" s="27" t="s">
        <v>188</v>
      </c>
      <c r="D1" s="27" t="s">
        <v>189</v>
      </c>
      <c r="E1" s="27" t="s">
        <v>37</v>
      </c>
      <c r="F1" s="27" t="s">
        <v>190</v>
      </c>
      <c r="G1" s="27" t="s">
        <v>191</v>
      </c>
      <c r="H1" s="27" t="s">
        <v>192</v>
      </c>
      <c r="I1" s="27" t="s">
        <v>193</v>
      </c>
      <c r="J1" s="27" t="s">
        <v>194</v>
      </c>
      <c r="K1" s="27" t="s">
        <v>195</v>
      </c>
      <c r="L1" s="27" t="s">
        <v>196</v>
      </c>
      <c r="M1" s="27" t="s">
        <v>197</v>
      </c>
      <c r="N1" s="27" t="s">
        <v>198</v>
      </c>
      <c r="O1" s="27" t="s">
        <v>199</v>
      </c>
    </row>
    <row r="2" spans="1:15" ht="58" customHeight="1">
      <c r="A2" s="29">
        <v>1</v>
      </c>
      <c r="B2" s="29">
        <v>6</v>
      </c>
      <c r="C2" s="29" t="s">
        <v>200</v>
      </c>
      <c r="D2" s="29" t="s">
        <v>1644</v>
      </c>
      <c r="E2" s="29" t="s">
        <v>41</v>
      </c>
      <c r="F2" s="30" t="s">
        <v>201</v>
      </c>
      <c r="G2" s="29">
        <v>2</v>
      </c>
      <c r="H2" s="29">
        <v>0</v>
      </c>
      <c r="I2" s="29">
        <v>4</v>
      </c>
      <c r="J2" s="29"/>
      <c r="K2" s="29">
        <v>2</v>
      </c>
      <c r="L2" s="29">
        <v>0</v>
      </c>
      <c r="M2" s="29">
        <v>2</v>
      </c>
      <c r="N2" s="29" t="s">
        <v>202</v>
      </c>
      <c r="O2" s="30" t="s">
        <v>1645</v>
      </c>
    </row>
    <row r="3" spans="1:15" ht="58" customHeight="1">
      <c r="A3" s="31">
        <v>2</v>
      </c>
      <c r="B3" s="31">
        <v>9</v>
      </c>
      <c r="C3" s="31" t="s">
        <v>203</v>
      </c>
      <c r="D3" s="31" t="s">
        <v>204</v>
      </c>
      <c r="E3" s="31" t="s">
        <v>46</v>
      </c>
      <c r="F3" s="32" t="s">
        <v>205</v>
      </c>
      <c r="G3" s="31">
        <v>1</v>
      </c>
      <c r="H3" s="31">
        <v>0</v>
      </c>
      <c r="I3" s="31">
        <v>3</v>
      </c>
      <c r="J3" s="50" t="s">
        <v>715</v>
      </c>
      <c r="K3" s="31">
        <v>1</v>
      </c>
      <c r="L3" s="31">
        <v>0</v>
      </c>
      <c r="M3" s="31">
        <v>1</v>
      </c>
      <c r="N3" s="29" t="s">
        <v>202</v>
      </c>
      <c r="O3" s="32" t="s">
        <v>1646</v>
      </c>
    </row>
    <row r="4" spans="1:15" ht="58" customHeight="1">
      <c r="A4" s="31">
        <v>3</v>
      </c>
      <c r="B4" s="31">
        <v>14</v>
      </c>
      <c r="C4" s="31" t="s">
        <v>206</v>
      </c>
      <c r="D4" s="31" t="s">
        <v>207</v>
      </c>
      <c r="E4" s="31" t="s">
        <v>208</v>
      </c>
      <c r="F4" s="32" t="s">
        <v>209</v>
      </c>
      <c r="G4" s="31">
        <v>1</v>
      </c>
      <c r="H4" s="31">
        <v>0</v>
      </c>
      <c r="I4" s="31">
        <v>5</v>
      </c>
      <c r="J4" s="31"/>
      <c r="K4" s="31">
        <v>1</v>
      </c>
      <c r="L4" s="31">
        <v>0</v>
      </c>
      <c r="M4" s="31">
        <v>1</v>
      </c>
      <c r="N4" s="29" t="s">
        <v>202</v>
      </c>
      <c r="O4" s="51" t="s">
        <v>1647</v>
      </c>
    </row>
    <row r="5" spans="1:15" ht="58" customHeight="1">
      <c r="A5" s="31">
        <v>4</v>
      </c>
      <c r="B5" s="31">
        <v>20</v>
      </c>
      <c r="C5" s="31" t="s">
        <v>210</v>
      </c>
      <c r="D5" s="31" t="s">
        <v>211</v>
      </c>
      <c r="E5" s="31" t="s">
        <v>208</v>
      </c>
      <c r="F5" s="32" t="s">
        <v>212</v>
      </c>
      <c r="G5" s="31">
        <v>1</v>
      </c>
      <c r="H5" s="31">
        <v>0</v>
      </c>
      <c r="I5" s="31">
        <v>3</v>
      </c>
      <c r="J5" s="31"/>
      <c r="K5" s="31">
        <v>1</v>
      </c>
      <c r="L5" s="31">
        <v>0</v>
      </c>
      <c r="M5" s="31">
        <v>1</v>
      </c>
      <c r="N5" s="29" t="s">
        <v>202</v>
      </c>
      <c r="O5" s="53" t="s">
        <v>1650</v>
      </c>
    </row>
    <row r="6" spans="1:15" ht="58" customHeight="1">
      <c r="A6" s="31">
        <v>5</v>
      </c>
      <c r="B6" s="31">
        <v>24</v>
      </c>
      <c r="C6" s="31" t="s">
        <v>213</v>
      </c>
      <c r="D6" s="31" t="s">
        <v>214</v>
      </c>
      <c r="E6" s="31" t="s">
        <v>63</v>
      </c>
      <c r="F6" s="32" t="s">
        <v>215</v>
      </c>
      <c r="G6" s="31">
        <v>1</v>
      </c>
      <c r="H6" s="31">
        <v>0</v>
      </c>
      <c r="I6" s="31">
        <v>4</v>
      </c>
      <c r="J6" s="31"/>
      <c r="K6" s="31">
        <v>1</v>
      </c>
      <c r="L6" s="31">
        <v>0</v>
      </c>
      <c r="M6" s="31">
        <v>1</v>
      </c>
      <c r="N6" s="29" t="s">
        <v>202</v>
      </c>
      <c r="O6" s="53" t="s">
        <v>1651</v>
      </c>
    </row>
    <row r="7" spans="1:15" ht="58" customHeight="1">
      <c r="A7" s="31">
        <v>6</v>
      </c>
      <c r="B7" s="31">
        <v>40</v>
      </c>
      <c r="C7" s="31" t="s">
        <v>216</v>
      </c>
      <c r="D7" s="31" t="s">
        <v>217</v>
      </c>
      <c r="E7" s="31" t="s">
        <v>218</v>
      </c>
      <c r="F7" s="32" t="s">
        <v>219</v>
      </c>
      <c r="G7" s="31">
        <v>1</v>
      </c>
      <c r="H7" s="31">
        <v>0</v>
      </c>
      <c r="I7" s="31">
        <v>4</v>
      </c>
      <c r="J7" s="31"/>
      <c r="K7" s="31">
        <v>0</v>
      </c>
      <c r="L7" s="31">
        <v>0</v>
      </c>
      <c r="M7" s="31">
        <v>1</v>
      </c>
      <c r="N7" s="29" t="s">
        <v>202</v>
      </c>
      <c r="O7" s="53" t="s">
        <v>1652</v>
      </c>
    </row>
    <row r="8" spans="1:15" ht="58" customHeight="1">
      <c r="A8" s="31">
        <v>7</v>
      </c>
      <c r="B8" s="31">
        <v>42</v>
      </c>
      <c r="C8" s="31" t="s">
        <v>220</v>
      </c>
      <c r="D8" s="31" t="s">
        <v>221</v>
      </c>
      <c r="E8" s="31" t="s">
        <v>222</v>
      </c>
      <c r="F8" s="32" t="s">
        <v>223</v>
      </c>
      <c r="G8" s="31">
        <v>4</v>
      </c>
      <c r="H8" s="31">
        <v>0</v>
      </c>
      <c r="I8" s="31">
        <v>4</v>
      </c>
      <c r="J8" s="31"/>
      <c r="K8" s="31">
        <v>4</v>
      </c>
      <c r="L8" s="31">
        <v>0</v>
      </c>
      <c r="M8" s="31">
        <v>4</v>
      </c>
      <c r="N8" s="29" t="s">
        <v>202</v>
      </c>
      <c r="O8" s="53" t="s">
        <v>1655</v>
      </c>
    </row>
    <row r="9" spans="1:15" ht="58" customHeight="1">
      <c r="A9" s="31">
        <v>8</v>
      </c>
      <c r="B9" s="31">
        <v>46</v>
      </c>
      <c r="C9" s="31" t="s">
        <v>224</v>
      </c>
      <c r="D9" s="31" t="s">
        <v>225</v>
      </c>
      <c r="E9" s="31" t="s">
        <v>226</v>
      </c>
      <c r="F9" s="32" t="s">
        <v>227</v>
      </c>
      <c r="G9" s="31">
        <v>1</v>
      </c>
      <c r="H9" s="31">
        <v>0</v>
      </c>
      <c r="I9" s="31">
        <v>5</v>
      </c>
      <c r="J9" s="31"/>
      <c r="K9" s="31">
        <v>1</v>
      </c>
      <c r="L9" s="31">
        <v>0</v>
      </c>
      <c r="M9" s="31">
        <v>1</v>
      </c>
      <c r="N9" s="29" t="s">
        <v>202</v>
      </c>
      <c r="O9" s="53" t="s">
        <v>1657</v>
      </c>
    </row>
    <row r="10" spans="1:15" ht="58" customHeight="1">
      <c r="A10" s="31">
        <v>9</v>
      </c>
      <c r="B10" s="31">
        <v>47</v>
      </c>
      <c r="C10" s="31" t="s">
        <v>228</v>
      </c>
      <c r="D10" s="31" t="s">
        <v>229</v>
      </c>
      <c r="E10" s="31" t="s">
        <v>46</v>
      </c>
      <c r="F10" s="32" t="s">
        <v>230</v>
      </c>
      <c r="G10" s="31">
        <v>5</v>
      </c>
      <c r="H10" s="31">
        <v>0</v>
      </c>
      <c r="I10" s="31">
        <v>1</v>
      </c>
      <c r="J10" s="31"/>
      <c r="K10" s="31">
        <v>5</v>
      </c>
      <c r="L10" s="31">
        <v>0</v>
      </c>
      <c r="M10" s="31">
        <v>5</v>
      </c>
      <c r="N10" s="29" t="s">
        <v>202</v>
      </c>
      <c r="O10" s="53" t="s">
        <v>1658</v>
      </c>
    </row>
    <row r="11" spans="1:15" ht="58" customHeight="1">
      <c r="A11" s="31">
        <v>10</v>
      </c>
      <c r="B11" s="31">
        <v>48</v>
      </c>
      <c r="C11" s="31" t="s">
        <v>231</v>
      </c>
      <c r="D11" s="31" t="s">
        <v>232</v>
      </c>
      <c r="E11" s="31" t="s">
        <v>67</v>
      </c>
      <c r="F11" s="32" t="s">
        <v>233</v>
      </c>
      <c r="G11" s="31">
        <v>2</v>
      </c>
      <c r="H11" s="31">
        <v>0</v>
      </c>
      <c r="I11" s="31">
        <v>4</v>
      </c>
      <c r="J11" s="31"/>
      <c r="K11" s="31">
        <v>2</v>
      </c>
      <c r="L11" s="31">
        <v>0</v>
      </c>
      <c r="M11" s="31">
        <v>2</v>
      </c>
      <c r="N11" s="29" t="s">
        <v>202</v>
      </c>
      <c r="O11" s="53" t="s">
        <v>1659</v>
      </c>
    </row>
    <row r="12" spans="1:15" ht="58" customHeight="1">
      <c r="A12" s="31">
        <v>11</v>
      </c>
      <c r="B12" s="31">
        <v>58</v>
      </c>
      <c r="C12" s="31" t="s">
        <v>234</v>
      </c>
      <c r="D12" s="31" t="s">
        <v>235</v>
      </c>
      <c r="E12" s="31" t="s">
        <v>236</v>
      </c>
      <c r="F12" s="32" t="s">
        <v>237</v>
      </c>
      <c r="G12" s="31">
        <v>1</v>
      </c>
      <c r="H12" s="31">
        <v>0</v>
      </c>
      <c r="I12" s="31">
        <v>2</v>
      </c>
      <c r="J12" s="31"/>
      <c r="K12" s="31">
        <v>1</v>
      </c>
      <c r="L12" s="31">
        <v>0</v>
      </c>
      <c r="M12" s="31">
        <v>1</v>
      </c>
      <c r="N12" s="29" t="s">
        <v>202</v>
      </c>
      <c r="O12" s="53" t="s">
        <v>1663</v>
      </c>
    </row>
    <row r="13" spans="1:15" ht="58" customHeight="1">
      <c r="A13" s="31">
        <v>12</v>
      </c>
      <c r="B13" s="31">
        <v>61</v>
      </c>
      <c r="C13" s="31" t="s">
        <v>238</v>
      </c>
      <c r="D13" s="31" t="s">
        <v>239</v>
      </c>
      <c r="E13" s="31" t="s">
        <v>67</v>
      </c>
      <c r="F13" s="32" t="s">
        <v>240</v>
      </c>
      <c r="G13" s="31">
        <v>2</v>
      </c>
      <c r="H13" s="31">
        <v>0</v>
      </c>
      <c r="I13" s="31">
        <v>2</v>
      </c>
      <c r="J13" s="31"/>
      <c r="K13" s="31">
        <v>2</v>
      </c>
      <c r="L13" s="31">
        <v>0</v>
      </c>
      <c r="M13" s="31">
        <v>2</v>
      </c>
      <c r="N13" s="29" t="s">
        <v>202</v>
      </c>
      <c r="O13" s="53" t="s">
        <v>1664</v>
      </c>
    </row>
    <row r="14" spans="1:15" ht="58" customHeight="1">
      <c r="A14" s="31">
        <v>13</v>
      </c>
      <c r="B14" s="31">
        <v>66</v>
      </c>
      <c r="C14" s="31" t="s">
        <v>241</v>
      </c>
      <c r="D14" s="31" t="s">
        <v>242</v>
      </c>
      <c r="E14" s="31" t="s">
        <v>243</v>
      </c>
      <c r="F14" s="32" t="s">
        <v>244</v>
      </c>
      <c r="G14" s="31">
        <v>1</v>
      </c>
      <c r="H14" s="31">
        <v>0</v>
      </c>
      <c r="I14" s="31">
        <v>2</v>
      </c>
      <c r="J14" s="31"/>
      <c r="K14" s="31">
        <v>1</v>
      </c>
      <c r="L14" s="31">
        <v>0</v>
      </c>
      <c r="M14" s="31">
        <v>1</v>
      </c>
      <c r="N14" s="29" t="s">
        <v>202</v>
      </c>
      <c r="O14" s="53" t="s">
        <v>1665</v>
      </c>
    </row>
    <row r="15" spans="1:15" ht="58" customHeight="1">
      <c r="A15" s="31">
        <v>14</v>
      </c>
      <c r="B15" s="31">
        <v>67</v>
      </c>
      <c r="C15" s="31" t="s">
        <v>245</v>
      </c>
      <c r="D15" s="31" t="s">
        <v>246</v>
      </c>
      <c r="E15" s="31" t="s">
        <v>67</v>
      </c>
      <c r="F15" s="32" t="s">
        <v>247</v>
      </c>
      <c r="G15" s="31">
        <v>1</v>
      </c>
      <c r="H15" s="31">
        <v>0</v>
      </c>
      <c r="I15" s="31">
        <v>3</v>
      </c>
      <c r="J15" s="31"/>
      <c r="K15" s="31">
        <v>0</v>
      </c>
      <c r="L15" s="31">
        <v>0</v>
      </c>
      <c r="M15" s="31">
        <v>1</v>
      </c>
      <c r="N15" s="29" t="s">
        <v>202</v>
      </c>
      <c r="O15" s="53" t="s">
        <v>1666</v>
      </c>
    </row>
    <row r="16" spans="1:15" ht="58" customHeight="1">
      <c r="A16" s="31">
        <v>15</v>
      </c>
      <c r="B16" s="31">
        <v>72</v>
      </c>
      <c r="C16" s="31" t="s">
        <v>248</v>
      </c>
      <c r="D16" s="31" t="s">
        <v>249</v>
      </c>
      <c r="E16" s="31" t="s">
        <v>222</v>
      </c>
      <c r="F16" s="32" t="s">
        <v>250</v>
      </c>
      <c r="G16" s="31">
        <v>1</v>
      </c>
      <c r="H16" s="31">
        <v>0</v>
      </c>
      <c r="I16" s="31">
        <v>4</v>
      </c>
      <c r="J16" s="53" t="s">
        <v>1668</v>
      </c>
      <c r="K16" s="31">
        <v>1</v>
      </c>
      <c r="L16" s="31">
        <v>0</v>
      </c>
      <c r="M16" s="31">
        <v>1</v>
      </c>
      <c r="N16" s="29" t="s">
        <v>202</v>
      </c>
      <c r="O16" s="53" t="s">
        <v>1667</v>
      </c>
    </row>
    <row r="17" spans="1:15" ht="58" customHeight="1">
      <c r="A17" s="31">
        <v>16</v>
      </c>
      <c r="B17" s="31">
        <v>78</v>
      </c>
      <c r="C17" s="31" t="s">
        <v>251</v>
      </c>
      <c r="D17" s="31" t="s">
        <v>252</v>
      </c>
      <c r="E17" s="31" t="s">
        <v>218</v>
      </c>
      <c r="F17" s="32" t="s">
        <v>253</v>
      </c>
      <c r="G17" s="31">
        <v>1</v>
      </c>
      <c r="H17" s="31">
        <v>0</v>
      </c>
      <c r="I17" s="31">
        <v>5</v>
      </c>
      <c r="J17" s="31"/>
      <c r="K17" s="31">
        <v>1</v>
      </c>
      <c r="L17" s="31">
        <v>0</v>
      </c>
      <c r="M17" s="31">
        <v>1</v>
      </c>
      <c r="N17" s="29" t="s">
        <v>202</v>
      </c>
      <c r="O17" s="53" t="s">
        <v>1669</v>
      </c>
    </row>
    <row r="18" spans="1:15" ht="58" customHeight="1">
      <c r="A18" s="31">
        <v>17</v>
      </c>
      <c r="B18" s="31">
        <v>80</v>
      </c>
      <c r="C18" s="31" t="s">
        <v>254</v>
      </c>
      <c r="D18" s="31" t="s">
        <v>255</v>
      </c>
      <c r="E18" s="31" t="s">
        <v>67</v>
      </c>
      <c r="F18" s="32" t="s">
        <v>256</v>
      </c>
      <c r="G18" s="31">
        <v>1</v>
      </c>
      <c r="H18" s="31">
        <v>0</v>
      </c>
      <c r="I18" s="31">
        <v>3</v>
      </c>
      <c r="J18" s="31"/>
      <c r="K18" s="31">
        <v>0</v>
      </c>
      <c r="L18" s="31">
        <v>0</v>
      </c>
      <c r="M18" s="31">
        <v>1</v>
      </c>
      <c r="N18" s="29" t="s">
        <v>202</v>
      </c>
      <c r="O18" s="53" t="s">
        <v>1670</v>
      </c>
    </row>
    <row r="19" spans="1:15" ht="58" customHeight="1">
      <c r="A19" s="31">
        <v>18</v>
      </c>
      <c r="B19" s="31">
        <v>81</v>
      </c>
      <c r="C19" s="31" t="s">
        <v>257</v>
      </c>
      <c r="D19" s="31" t="s">
        <v>258</v>
      </c>
      <c r="E19" s="31" t="s">
        <v>226</v>
      </c>
      <c r="F19" s="32" t="s">
        <v>259</v>
      </c>
      <c r="G19" s="31">
        <v>1</v>
      </c>
      <c r="H19" s="31">
        <v>0</v>
      </c>
      <c r="I19" s="31">
        <v>2</v>
      </c>
      <c r="J19" s="31"/>
      <c r="K19" s="31">
        <v>1</v>
      </c>
      <c r="L19" s="31">
        <v>0</v>
      </c>
      <c r="M19" s="31">
        <v>1</v>
      </c>
      <c r="N19" s="29" t="s">
        <v>202</v>
      </c>
      <c r="O19" s="53" t="s">
        <v>1671</v>
      </c>
    </row>
    <row r="20" spans="1:15" ht="58" customHeight="1">
      <c r="A20" s="31">
        <v>19</v>
      </c>
      <c r="B20" s="31">
        <v>82</v>
      </c>
      <c r="C20" s="31" t="s">
        <v>260</v>
      </c>
      <c r="D20" s="31" t="s">
        <v>261</v>
      </c>
      <c r="E20" s="31" t="s">
        <v>57</v>
      </c>
      <c r="F20" s="32" t="s">
        <v>262</v>
      </c>
      <c r="G20" s="31">
        <v>2</v>
      </c>
      <c r="H20" s="31">
        <v>0</v>
      </c>
      <c r="I20" s="31">
        <v>4</v>
      </c>
      <c r="J20" s="31"/>
      <c r="K20" s="31">
        <v>2</v>
      </c>
      <c r="L20" s="31">
        <v>0</v>
      </c>
      <c r="M20" s="31">
        <v>2</v>
      </c>
      <c r="N20" s="29" t="s">
        <v>202</v>
      </c>
      <c r="O20" s="53" t="s">
        <v>1672</v>
      </c>
    </row>
    <row r="21" spans="1:15" ht="58" customHeight="1">
      <c r="A21" s="31">
        <v>20</v>
      </c>
      <c r="B21" s="31">
        <v>93</v>
      </c>
      <c r="C21" s="31" t="s">
        <v>49</v>
      </c>
      <c r="D21" s="31" t="s">
        <v>263</v>
      </c>
      <c r="E21" s="31" t="s">
        <v>50</v>
      </c>
      <c r="F21" s="32" t="s">
        <v>123</v>
      </c>
      <c r="G21" s="31">
        <v>5</v>
      </c>
      <c r="H21" s="31">
        <v>5</v>
      </c>
      <c r="I21" s="31">
        <v>3</v>
      </c>
      <c r="J21" s="31" t="s">
        <v>1675</v>
      </c>
      <c r="K21" s="31">
        <v>1</v>
      </c>
      <c r="L21" s="31">
        <v>0</v>
      </c>
      <c r="M21" s="31">
        <v>5</v>
      </c>
      <c r="N21" s="29" t="s">
        <v>202</v>
      </c>
      <c r="O21" s="53" t="s">
        <v>1676</v>
      </c>
    </row>
    <row r="22" spans="1:15" ht="58" customHeight="1">
      <c r="A22" s="31">
        <v>21</v>
      </c>
      <c r="B22" s="31">
        <v>95</v>
      </c>
      <c r="C22" s="31" t="s">
        <v>264</v>
      </c>
      <c r="D22" s="31" t="s">
        <v>265</v>
      </c>
      <c r="E22" s="31" t="s">
        <v>208</v>
      </c>
      <c r="F22" s="32" t="s">
        <v>266</v>
      </c>
      <c r="G22" s="31">
        <v>1</v>
      </c>
      <c r="H22" s="31">
        <v>0</v>
      </c>
      <c r="I22" s="31">
        <v>2</v>
      </c>
      <c r="J22" s="31"/>
      <c r="K22" s="31">
        <v>1</v>
      </c>
      <c r="L22" s="31">
        <v>0</v>
      </c>
      <c r="M22" s="31">
        <v>1</v>
      </c>
      <c r="N22" s="29" t="s">
        <v>202</v>
      </c>
      <c r="O22" s="53" t="s">
        <v>1678</v>
      </c>
    </row>
    <row r="23" spans="1:15" ht="58" customHeight="1">
      <c r="A23" s="31">
        <v>22</v>
      </c>
      <c r="B23" s="31">
        <v>100</v>
      </c>
      <c r="C23" s="31" t="s">
        <v>267</v>
      </c>
      <c r="D23" s="31" t="s">
        <v>268</v>
      </c>
      <c r="E23" s="31" t="s">
        <v>269</v>
      </c>
      <c r="F23" s="32" t="s">
        <v>270</v>
      </c>
      <c r="G23" s="31">
        <v>1</v>
      </c>
      <c r="H23" s="31">
        <v>0</v>
      </c>
      <c r="I23" s="31">
        <v>5</v>
      </c>
      <c r="J23" s="31"/>
      <c r="K23" s="31">
        <v>1</v>
      </c>
      <c r="L23" s="31">
        <v>0</v>
      </c>
      <c r="M23" s="31">
        <v>2</v>
      </c>
      <c r="N23" s="29" t="s">
        <v>202</v>
      </c>
      <c r="O23" s="55" t="s">
        <v>1679</v>
      </c>
    </row>
    <row r="24" spans="1:15" ht="58" customHeight="1">
      <c r="A24" s="31">
        <v>23</v>
      </c>
      <c r="B24" s="31">
        <v>104</v>
      </c>
      <c r="C24" s="31" t="s">
        <v>271</v>
      </c>
      <c r="D24" s="31" t="s">
        <v>272</v>
      </c>
      <c r="E24" s="31" t="s">
        <v>273</v>
      </c>
      <c r="F24" s="32" t="s">
        <v>274</v>
      </c>
      <c r="G24" s="31">
        <v>3</v>
      </c>
      <c r="H24" s="31">
        <v>0</v>
      </c>
      <c r="I24" s="31">
        <v>3</v>
      </c>
      <c r="J24" s="31"/>
      <c r="K24" s="31">
        <v>3</v>
      </c>
      <c r="L24" s="31">
        <v>0</v>
      </c>
      <c r="M24" s="31">
        <v>3</v>
      </c>
      <c r="N24" s="29" t="s">
        <v>202</v>
      </c>
      <c r="O24" s="53" t="s">
        <v>1680</v>
      </c>
    </row>
    <row r="25" spans="1:15" ht="58" customHeight="1">
      <c r="A25" s="31">
        <v>24</v>
      </c>
      <c r="B25" s="31">
        <v>114</v>
      </c>
      <c r="C25" s="31" t="s">
        <v>275</v>
      </c>
      <c r="D25" s="31" t="s">
        <v>276</v>
      </c>
      <c r="E25" s="31" t="s">
        <v>54</v>
      </c>
      <c r="F25" s="32" t="s">
        <v>277</v>
      </c>
      <c r="G25" s="31">
        <v>2</v>
      </c>
      <c r="H25" s="31">
        <v>0</v>
      </c>
      <c r="I25" s="31">
        <v>3</v>
      </c>
      <c r="J25" s="31" t="s">
        <v>1683</v>
      </c>
      <c r="K25" s="31">
        <v>0</v>
      </c>
      <c r="L25" s="31">
        <v>0</v>
      </c>
      <c r="M25" s="31">
        <v>2</v>
      </c>
      <c r="N25" s="29" t="s">
        <v>202</v>
      </c>
      <c r="O25" s="53" t="s">
        <v>1682</v>
      </c>
    </row>
    <row r="26" spans="1:15" ht="58" customHeight="1">
      <c r="A26" s="31">
        <v>25</v>
      </c>
      <c r="B26" s="31">
        <v>115</v>
      </c>
      <c r="C26" s="31" t="s">
        <v>278</v>
      </c>
      <c r="D26" s="31" t="s">
        <v>279</v>
      </c>
      <c r="E26" s="31" t="s">
        <v>57</v>
      </c>
      <c r="F26" s="32" t="s">
        <v>280</v>
      </c>
      <c r="G26" s="31">
        <v>1</v>
      </c>
      <c r="H26" s="31">
        <v>0</v>
      </c>
      <c r="I26" s="31">
        <v>2</v>
      </c>
      <c r="J26" s="31" t="s">
        <v>1683</v>
      </c>
      <c r="K26" s="31">
        <v>0</v>
      </c>
      <c r="L26" s="31">
        <v>0</v>
      </c>
      <c r="M26" s="31">
        <v>1</v>
      </c>
      <c r="N26" s="29" t="s">
        <v>202</v>
      </c>
      <c r="O26" s="53" t="s">
        <v>1685</v>
      </c>
    </row>
    <row r="27" spans="1:15" ht="58" customHeight="1">
      <c r="A27" s="31">
        <v>26</v>
      </c>
      <c r="B27" s="31">
        <v>120</v>
      </c>
      <c r="C27" s="31" t="s">
        <v>281</v>
      </c>
      <c r="D27" s="31" t="s">
        <v>282</v>
      </c>
      <c r="E27" s="31" t="s">
        <v>67</v>
      </c>
      <c r="F27" s="32" t="s">
        <v>283</v>
      </c>
      <c r="G27" s="31">
        <v>1</v>
      </c>
      <c r="H27" s="31">
        <v>0</v>
      </c>
      <c r="I27" s="31">
        <v>3</v>
      </c>
      <c r="J27" s="31"/>
      <c r="K27" s="31">
        <v>0</v>
      </c>
      <c r="L27" s="31">
        <v>0</v>
      </c>
      <c r="M27" s="31">
        <v>1</v>
      </c>
      <c r="N27" s="29" t="s">
        <v>202</v>
      </c>
      <c r="O27" s="53" t="s">
        <v>1686</v>
      </c>
    </row>
    <row r="28" spans="1:15" ht="58" customHeight="1">
      <c r="A28" s="31">
        <v>27</v>
      </c>
      <c r="B28" s="31">
        <v>123</v>
      </c>
      <c r="C28" s="31" t="s">
        <v>284</v>
      </c>
      <c r="D28" s="31" t="s">
        <v>285</v>
      </c>
      <c r="E28" s="31" t="s">
        <v>46</v>
      </c>
      <c r="F28" s="32" t="s">
        <v>286</v>
      </c>
      <c r="G28" s="31">
        <v>1</v>
      </c>
      <c r="H28" s="31">
        <v>0</v>
      </c>
      <c r="I28" s="31">
        <v>5</v>
      </c>
      <c r="J28" s="31" t="s">
        <v>1683</v>
      </c>
      <c r="K28" s="31">
        <v>0</v>
      </c>
      <c r="L28" s="31">
        <v>0</v>
      </c>
      <c r="M28" s="31">
        <v>1</v>
      </c>
      <c r="N28" s="29" t="s">
        <v>202</v>
      </c>
      <c r="O28" s="53" t="s">
        <v>1687</v>
      </c>
    </row>
    <row r="29" spans="1:15" ht="58" customHeight="1">
      <c r="A29" s="31">
        <v>28</v>
      </c>
      <c r="B29" s="31">
        <v>125</v>
      </c>
      <c r="C29" s="31" t="s">
        <v>287</v>
      </c>
      <c r="D29" s="31" t="s">
        <v>288</v>
      </c>
      <c r="E29" s="31" t="s">
        <v>88</v>
      </c>
      <c r="F29" s="32" t="s">
        <v>289</v>
      </c>
      <c r="G29" s="31">
        <v>2</v>
      </c>
      <c r="H29" s="31">
        <v>0</v>
      </c>
      <c r="I29" s="31">
        <v>5</v>
      </c>
      <c r="J29" s="31" t="s">
        <v>1683</v>
      </c>
      <c r="K29" s="31">
        <v>0</v>
      </c>
      <c r="L29" s="31">
        <v>0</v>
      </c>
      <c r="M29" s="31">
        <v>2</v>
      </c>
      <c r="N29" s="29" t="s">
        <v>202</v>
      </c>
      <c r="O29" s="53" t="s">
        <v>1688</v>
      </c>
    </row>
    <row r="30" spans="1:15" ht="58" customHeight="1">
      <c r="A30" s="31">
        <v>29</v>
      </c>
      <c r="B30" s="31">
        <v>127</v>
      </c>
      <c r="C30" s="31" t="s">
        <v>290</v>
      </c>
      <c r="D30" s="31" t="s">
        <v>291</v>
      </c>
      <c r="E30" s="31" t="s">
        <v>50</v>
      </c>
      <c r="F30" s="32" t="s">
        <v>292</v>
      </c>
      <c r="G30" s="31">
        <v>1</v>
      </c>
      <c r="H30" s="31">
        <v>0</v>
      </c>
      <c r="I30" s="31">
        <v>5</v>
      </c>
      <c r="J30" s="31" t="s">
        <v>1683</v>
      </c>
      <c r="K30" s="31">
        <v>0</v>
      </c>
      <c r="L30" s="31">
        <v>0</v>
      </c>
      <c r="M30" s="31">
        <v>1</v>
      </c>
      <c r="N30" s="29" t="s">
        <v>202</v>
      </c>
      <c r="O30" s="56" t="s">
        <v>1689</v>
      </c>
    </row>
    <row r="31" spans="1:15" ht="58" customHeight="1">
      <c r="A31" s="31">
        <v>30</v>
      </c>
      <c r="B31" s="31">
        <v>128</v>
      </c>
      <c r="C31" s="31" t="s">
        <v>293</v>
      </c>
      <c r="D31" s="31" t="s">
        <v>294</v>
      </c>
      <c r="E31" s="31" t="s">
        <v>54</v>
      </c>
      <c r="F31" s="32" t="s">
        <v>295</v>
      </c>
      <c r="G31" s="31">
        <v>1</v>
      </c>
      <c r="H31" s="31">
        <v>0</v>
      </c>
      <c r="I31" s="31">
        <v>3</v>
      </c>
      <c r="J31" s="31"/>
      <c r="K31" s="31">
        <v>1</v>
      </c>
      <c r="L31" s="31">
        <v>0</v>
      </c>
      <c r="M31" s="31">
        <v>1</v>
      </c>
      <c r="N31" s="29" t="s">
        <v>202</v>
      </c>
      <c r="O31" s="53" t="s">
        <v>1690</v>
      </c>
    </row>
    <row r="32" spans="1:15" ht="58" customHeight="1">
      <c r="A32" s="31">
        <v>31</v>
      </c>
      <c r="B32" s="31">
        <v>130</v>
      </c>
      <c r="C32" s="31" t="s">
        <v>296</v>
      </c>
      <c r="D32" s="31" t="s">
        <v>297</v>
      </c>
      <c r="E32" s="31" t="s">
        <v>236</v>
      </c>
      <c r="F32" s="32" t="s">
        <v>298</v>
      </c>
      <c r="G32" s="31">
        <v>1</v>
      </c>
      <c r="H32" s="31">
        <v>0</v>
      </c>
      <c r="I32" s="31">
        <v>3</v>
      </c>
      <c r="J32" s="31" t="s">
        <v>1683</v>
      </c>
      <c r="K32" s="31">
        <v>0</v>
      </c>
      <c r="L32" s="31">
        <v>0</v>
      </c>
      <c r="M32" s="31">
        <v>1</v>
      </c>
      <c r="N32" s="29" t="s">
        <v>202</v>
      </c>
      <c r="O32" s="53" t="s">
        <v>1691</v>
      </c>
    </row>
    <row r="33" spans="1:15" ht="58" customHeight="1">
      <c r="A33" s="31">
        <v>32</v>
      </c>
      <c r="B33" s="31">
        <v>133</v>
      </c>
      <c r="C33" s="31" t="s">
        <v>299</v>
      </c>
      <c r="D33" s="31" t="s">
        <v>300</v>
      </c>
      <c r="E33" s="31" t="s">
        <v>46</v>
      </c>
      <c r="F33" s="32" t="s">
        <v>301</v>
      </c>
      <c r="G33" s="31">
        <v>2</v>
      </c>
      <c r="H33" s="31">
        <v>0</v>
      </c>
      <c r="I33" s="31">
        <v>5</v>
      </c>
      <c r="J33" s="31"/>
      <c r="K33" s="31">
        <v>2</v>
      </c>
      <c r="L33" s="31">
        <v>0</v>
      </c>
      <c r="M33" s="31">
        <v>2</v>
      </c>
      <c r="N33" s="29" t="s">
        <v>202</v>
      </c>
      <c r="O33" s="53" t="s">
        <v>1692</v>
      </c>
    </row>
    <row r="34" spans="1:15" ht="58" customHeight="1">
      <c r="A34" s="31">
        <v>33</v>
      </c>
      <c r="B34" s="31">
        <v>135</v>
      </c>
      <c r="C34" s="31" t="s">
        <v>302</v>
      </c>
      <c r="D34" s="31" t="s">
        <v>303</v>
      </c>
      <c r="E34" s="31" t="s">
        <v>218</v>
      </c>
      <c r="F34" s="32" t="s">
        <v>304</v>
      </c>
      <c r="G34" s="31">
        <v>2</v>
      </c>
      <c r="H34" s="31">
        <v>0</v>
      </c>
      <c r="I34" s="31">
        <v>3</v>
      </c>
      <c r="J34" s="31"/>
      <c r="K34" s="31">
        <v>2</v>
      </c>
      <c r="L34" s="31">
        <v>0</v>
      </c>
      <c r="M34" s="31">
        <v>2</v>
      </c>
      <c r="N34" s="29" t="s">
        <v>202</v>
      </c>
      <c r="O34" s="53" t="s">
        <v>1693</v>
      </c>
    </row>
    <row r="35" spans="1:15" ht="58" customHeight="1">
      <c r="A35" s="31">
        <v>34</v>
      </c>
      <c r="B35" s="31">
        <v>136</v>
      </c>
      <c r="C35" s="31" t="s">
        <v>305</v>
      </c>
      <c r="D35" s="31" t="s">
        <v>306</v>
      </c>
      <c r="E35" s="31" t="s">
        <v>63</v>
      </c>
      <c r="F35" s="32" t="s">
        <v>307</v>
      </c>
      <c r="G35" s="31">
        <v>1</v>
      </c>
      <c r="H35" s="31">
        <v>0</v>
      </c>
      <c r="I35" s="31">
        <v>3</v>
      </c>
      <c r="J35" s="31" t="s">
        <v>1683</v>
      </c>
      <c r="K35" s="31">
        <v>0</v>
      </c>
      <c r="L35" s="31">
        <v>0</v>
      </c>
      <c r="M35" s="31">
        <v>1</v>
      </c>
      <c r="N35" s="29" t="s">
        <v>202</v>
      </c>
      <c r="O35" s="32" t="s">
        <v>1694</v>
      </c>
    </row>
    <row r="36" spans="1:15" ht="58" customHeight="1">
      <c r="A36" s="31">
        <v>35</v>
      </c>
      <c r="B36" s="31">
        <v>137</v>
      </c>
      <c r="C36" s="31" t="s">
        <v>53</v>
      </c>
      <c r="D36" s="31" t="s">
        <v>308</v>
      </c>
      <c r="E36" s="31" t="s">
        <v>54</v>
      </c>
      <c r="F36" s="32" t="s">
        <v>126</v>
      </c>
      <c r="G36" s="31">
        <v>5</v>
      </c>
      <c r="H36" s="31">
        <v>5</v>
      </c>
      <c r="I36" s="31">
        <v>1</v>
      </c>
      <c r="J36" s="31" t="s">
        <v>23</v>
      </c>
      <c r="K36" s="31">
        <v>0</v>
      </c>
      <c r="L36" s="31">
        <v>0</v>
      </c>
      <c r="M36" s="31">
        <v>5</v>
      </c>
      <c r="N36" s="29" t="s">
        <v>202</v>
      </c>
      <c r="O36" s="53" t="s">
        <v>1695</v>
      </c>
    </row>
    <row r="37" spans="1:15" ht="58" customHeight="1">
      <c r="A37" s="31">
        <v>36</v>
      </c>
      <c r="B37" s="31">
        <v>142</v>
      </c>
      <c r="C37" s="31" t="s">
        <v>309</v>
      </c>
      <c r="D37" s="31" t="s">
        <v>310</v>
      </c>
      <c r="E37" s="31" t="s">
        <v>46</v>
      </c>
      <c r="F37" s="32" t="s">
        <v>311</v>
      </c>
      <c r="G37" s="31">
        <v>0</v>
      </c>
      <c r="H37" s="31">
        <v>0</v>
      </c>
      <c r="I37" s="31">
        <v>2</v>
      </c>
      <c r="J37" s="31"/>
      <c r="K37" s="31">
        <v>0</v>
      </c>
      <c r="L37" s="31">
        <v>0</v>
      </c>
      <c r="M37" s="31">
        <v>0</v>
      </c>
      <c r="N37" s="29" t="s">
        <v>202</v>
      </c>
      <c r="O37" s="32" t="s">
        <v>1698</v>
      </c>
    </row>
    <row r="38" spans="1:15" ht="58" customHeight="1">
      <c r="A38" s="31">
        <v>37</v>
      </c>
      <c r="B38" s="31">
        <v>145</v>
      </c>
      <c r="C38" s="31" t="s">
        <v>56</v>
      </c>
      <c r="D38" s="31" t="s">
        <v>312</v>
      </c>
      <c r="E38" s="31" t="s">
        <v>57</v>
      </c>
      <c r="F38" s="32" t="s">
        <v>129</v>
      </c>
      <c r="G38" s="31">
        <v>5</v>
      </c>
      <c r="H38" s="31">
        <v>5</v>
      </c>
      <c r="I38" s="31">
        <v>4</v>
      </c>
      <c r="J38" s="31" t="s">
        <v>25</v>
      </c>
      <c r="K38" s="31">
        <v>0</v>
      </c>
      <c r="L38" s="31">
        <v>0</v>
      </c>
      <c r="M38" s="31">
        <v>5</v>
      </c>
      <c r="N38" s="29" t="s">
        <v>202</v>
      </c>
      <c r="O38" s="32"/>
    </row>
    <row r="39" spans="1:15" ht="58" customHeight="1">
      <c r="A39" s="31">
        <v>38</v>
      </c>
      <c r="B39" s="31">
        <v>147</v>
      </c>
      <c r="C39" s="31" t="s">
        <v>313</v>
      </c>
      <c r="D39" s="31" t="s">
        <v>314</v>
      </c>
      <c r="E39" s="31" t="s">
        <v>273</v>
      </c>
      <c r="F39" s="32" t="s">
        <v>315</v>
      </c>
      <c r="G39" s="31">
        <v>1</v>
      </c>
      <c r="H39" s="31">
        <v>0</v>
      </c>
      <c r="I39" s="31">
        <v>4</v>
      </c>
      <c r="J39" s="53" t="s">
        <v>1699</v>
      </c>
      <c r="K39" s="31">
        <v>1</v>
      </c>
      <c r="L39" s="31">
        <v>0</v>
      </c>
      <c r="M39" s="31">
        <v>1</v>
      </c>
      <c r="N39" s="29" t="s">
        <v>202</v>
      </c>
      <c r="O39" s="53" t="s">
        <v>1700</v>
      </c>
    </row>
    <row r="40" spans="1:15" ht="58" customHeight="1">
      <c r="A40" s="31">
        <v>39</v>
      </c>
      <c r="B40" s="31">
        <v>149</v>
      </c>
      <c r="C40" s="31" t="s">
        <v>316</v>
      </c>
      <c r="D40" s="31" t="s">
        <v>317</v>
      </c>
      <c r="E40" s="31" t="s">
        <v>318</v>
      </c>
      <c r="F40" s="32" t="s">
        <v>319</v>
      </c>
      <c r="G40" s="31">
        <v>1</v>
      </c>
      <c r="H40" s="31">
        <v>0</v>
      </c>
      <c r="I40" s="31">
        <v>4</v>
      </c>
      <c r="J40" s="31"/>
      <c r="K40" s="31">
        <v>1</v>
      </c>
      <c r="L40" s="31">
        <v>0</v>
      </c>
      <c r="M40" s="31">
        <v>1</v>
      </c>
      <c r="N40" s="29" t="s">
        <v>202</v>
      </c>
      <c r="O40" s="53" t="s">
        <v>1702</v>
      </c>
    </row>
    <row r="41" spans="1:15" ht="58" customHeight="1">
      <c r="A41" s="31">
        <v>40</v>
      </c>
      <c r="B41" s="31">
        <v>157</v>
      </c>
      <c r="C41" s="31" t="s">
        <v>320</v>
      </c>
      <c r="D41" s="31" t="s">
        <v>321</v>
      </c>
      <c r="E41" s="31" t="s">
        <v>236</v>
      </c>
      <c r="F41" s="32" t="s">
        <v>322</v>
      </c>
      <c r="G41" s="31">
        <v>3</v>
      </c>
      <c r="H41" s="31">
        <v>0</v>
      </c>
      <c r="I41" s="31">
        <v>3</v>
      </c>
      <c r="J41" s="53" t="s">
        <v>1703</v>
      </c>
      <c r="K41" s="31">
        <v>3</v>
      </c>
      <c r="L41" s="31">
        <v>0</v>
      </c>
      <c r="M41" s="31">
        <v>3</v>
      </c>
      <c r="N41" s="29" t="s">
        <v>202</v>
      </c>
      <c r="O41" s="53" t="s">
        <v>1704</v>
      </c>
    </row>
    <row r="42" spans="1:15" ht="58" customHeight="1">
      <c r="A42" s="31">
        <v>41</v>
      </c>
      <c r="B42" s="31">
        <v>159</v>
      </c>
      <c r="C42" s="31" t="s">
        <v>323</v>
      </c>
      <c r="D42" s="31" t="s">
        <v>324</v>
      </c>
      <c r="E42" s="31" t="s">
        <v>41</v>
      </c>
      <c r="F42" s="32" t="s">
        <v>325</v>
      </c>
      <c r="G42" s="31">
        <v>2</v>
      </c>
      <c r="H42" s="31">
        <v>0</v>
      </c>
      <c r="I42" s="31">
        <v>3</v>
      </c>
      <c r="J42" s="31"/>
      <c r="K42" s="31">
        <v>2</v>
      </c>
      <c r="L42" s="31">
        <v>0</v>
      </c>
      <c r="M42" s="31">
        <v>2</v>
      </c>
      <c r="N42" s="29" t="s">
        <v>202</v>
      </c>
      <c r="O42" s="53" t="s">
        <v>1705</v>
      </c>
    </row>
    <row r="43" spans="1:15" ht="58" customHeight="1">
      <c r="A43" s="31">
        <v>42</v>
      </c>
      <c r="B43" s="31">
        <v>160</v>
      </c>
      <c r="C43" s="31" t="s">
        <v>326</v>
      </c>
      <c r="D43" s="31" t="s">
        <v>327</v>
      </c>
      <c r="E43" s="31" t="s">
        <v>328</v>
      </c>
      <c r="F43" s="32" t="s">
        <v>329</v>
      </c>
      <c r="G43" s="31">
        <v>2</v>
      </c>
      <c r="H43" s="31">
        <v>0</v>
      </c>
      <c r="I43" s="31">
        <v>4</v>
      </c>
      <c r="J43" s="53" t="s">
        <v>1707</v>
      </c>
      <c r="K43" s="31">
        <v>0</v>
      </c>
      <c r="L43" s="31">
        <v>0</v>
      </c>
      <c r="M43" s="31">
        <v>2</v>
      </c>
      <c r="N43" s="29" t="s">
        <v>202</v>
      </c>
      <c r="O43" s="53" t="s">
        <v>1708</v>
      </c>
    </row>
    <row r="44" spans="1:15" ht="58" customHeight="1">
      <c r="A44" s="31">
        <v>43</v>
      </c>
      <c r="B44" s="31">
        <v>161</v>
      </c>
      <c r="C44" s="31" t="s">
        <v>330</v>
      </c>
      <c r="D44" s="31" t="s">
        <v>331</v>
      </c>
      <c r="E44" s="31" t="s">
        <v>41</v>
      </c>
      <c r="F44" s="32" t="s">
        <v>332</v>
      </c>
      <c r="G44" s="31">
        <v>2</v>
      </c>
      <c r="H44" s="31">
        <v>0</v>
      </c>
      <c r="I44" s="31">
        <v>3</v>
      </c>
      <c r="J44" s="31"/>
      <c r="K44" s="31">
        <v>2</v>
      </c>
      <c r="L44" s="31">
        <v>0</v>
      </c>
      <c r="M44" s="31">
        <v>2</v>
      </c>
      <c r="N44" s="29" t="s">
        <v>202</v>
      </c>
      <c r="O44" s="53" t="s">
        <v>1709</v>
      </c>
    </row>
    <row r="45" spans="1:15" ht="58" customHeight="1">
      <c r="A45" s="31">
        <v>44</v>
      </c>
      <c r="B45" s="31">
        <v>163</v>
      </c>
      <c r="C45" s="31" t="s">
        <v>333</v>
      </c>
      <c r="D45" s="31" t="s">
        <v>334</v>
      </c>
      <c r="E45" s="31" t="s">
        <v>76</v>
      </c>
      <c r="F45" s="32" t="s">
        <v>335</v>
      </c>
      <c r="G45" s="31">
        <v>1</v>
      </c>
      <c r="H45" s="31">
        <v>0</v>
      </c>
      <c r="I45" s="31">
        <v>2</v>
      </c>
      <c r="J45" s="53" t="s">
        <v>1710</v>
      </c>
      <c r="K45" s="31">
        <v>1</v>
      </c>
      <c r="L45" s="31">
        <v>0</v>
      </c>
      <c r="M45" s="31">
        <v>1</v>
      </c>
      <c r="N45" s="29" t="s">
        <v>202</v>
      </c>
      <c r="O45" s="53" t="s">
        <v>1711</v>
      </c>
    </row>
    <row r="46" spans="1:15" ht="58" customHeight="1">
      <c r="A46" s="31">
        <v>45</v>
      </c>
      <c r="B46" s="31">
        <v>165</v>
      </c>
      <c r="C46" s="31" t="s">
        <v>336</v>
      </c>
      <c r="D46" s="31" t="s">
        <v>337</v>
      </c>
      <c r="E46" s="31" t="s">
        <v>222</v>
      </c>
      <c r="F46" s="32" t="s">
        <v>338</v>
      </c>
      <c r="G46" s="31">
        <v>3</v>
      </c>
      <c r="H46" s="31">
        <v>0</v>
      </c>
      <c r="I46" s="31">
        <v>4</v>
      </c>
      <c r="J46" s="53" t="s">
        <v>1712</v>
      </c>
      <c r="K46" s="31">
        <v>3</v>
      </c>
      <c r="L46" s="31">
        <v>0</v>
      </c>
      <c r="M46" s="31">
        <v>3</v>
      </c>
      <c r="N46" s="29" t="s">
        <v>202</v>
      </c>
      <c r="O46" s="53" t="s">
        <v>1713</v>
      </c>
    </row>
    <row r="47" spans="1:15" ht="58" customHeight="1">
      <c r="A47" s="31">
        <v>46</v>
      </c>
      <c r="B47" s="31">
        <v>166</v>
      </c>
      <c r="C47" s="31" t="s">
        <v>339</v>
      </c>
      <c r="D47" s="31" t="s">
        <v>340</v>
      </c>
      <c r="E47" s="31" t="s">
        <v>67</v>
      </c>
      <c r="F47" s="32" t="s">
        <v>341</v>
      </c>
      <c r="G47" s="31">
        <v>1</v>
      </c>
      <c r="H47" s="31">
        <v>0</v>
      </c>
      <c r="I47" s="31">
        <v>3</v>
      </c>
      <c r="J47" s="31"/>
      <c r="K47" s="31">
        <v>1</v>
      </c>
      <c r="L47" s="31">
        <v>0</v>
      </c>
      <c r="M47" s="31">
        <v>1</v>
      </c>
      <c r="N47" s="29" t="s">
        <v>202</v>
      </c>
      <c r="O47" s="53" t="s">
        <v>1714</v>
      </c>
    </row>
    <row r="48" spans="1:15" ht="58" customHeight="1">
      <c r="A48" s="31">
        <v>47</v>
      </c>
      <c r="B48" s="31">
        <v>171</v>
      </c>
      <c r="C48" s="31" t="s">
        <v>342</v>
      </c>
      <c r="D48" s="31" t="s">
        <v>343</v>
      </c>
      <c r="E48" s="31" t="s">
        <v>226</v>
      </c>
      <c r="F48" s="32" t="s">
        <v>344</v>
      </c>
      <c r="G48" s="31">
        <v>1</v>
      </c>
      <c r="H48" s="31">
        <v>0</v>
      </c>
      <c r="I48" s="31">
        <v>3</v>
      </c>
      <c r="J48" s="31"/>
      <c r="K48" s="31">
        <v>1</v>
      </c>
      <c r="L48" s="31">
        <v>0</v>
      </c>
      <c r="M48" s="31">
        <v>1</v>
      </c>
      <c r="N48" s="29" t="s">
        <v>202</v>
      </c>
      <c r="O48" s="53" t="s">
        <v>1715</v>
      </c>
    </row>
    <row r="49" spans="1:15" ht="58" customHeight="1">
      <c r="A49" s="31">
        <v>48</v>
      </c>
      <c r="B49" s="31">
        <v>174</v>
      </c>
      <c r="C49" s="31" t="s">
        <v>345</v>
      </c>
      <c r="D49" s="31" t="s">
        <v>346</v>
      </c>
      <c r="E49" s="31" t="s">
        <v>328</v>
      </c>
      <c r="F49" s="32" t="s">
        <v>347</v>
      </c>
      <c r="G49" s="31">
        <v>1</v>
      </c>
      <c r="H49" s="31">
        <v>0</v>
      </c>
      <c r="I49" s="31">
        <v>5</v>
      </c>
      <c r="J49" s="31"/>
      <c r="K49" s="31">
        <v>1</v>
      </c>
      <c r="L49" s="31">
        <v>0</v>
      </c>
      <c r="M49" s="31">
        <v>1</v>
      </c>
      <c r="N49" s="29" t="s">
        <v>202</v>
      </c>
      <c r="O49" s="53" t="s">
        <v>1716</v>
      </c>
    </row>
    <row r="50" spans="1:15" ht="58" customHeight="1">
      <c r="A50" s="31">
        <v>49</v>
      </c>
      <c r="B50" s="31">
        <v>176</v>
      </c>
      <c r="C50" s="31" t="s">
        <v>348</v>
      </c>
      <c r="D50" s="31" t="s">
        <v>349</v>
      </c>
      <c r="E50" s="31" t="s">
        <v>350</v>
      </c>
      <c r="F50" s="32" t="s">
        <v>351</v>
      </c>
      <c r="G50" s="31">
        <v>1</v>
      </c>
      <c r="H50" s="31">
        <v>0</v>
      </c>
      <c r="I50" s="31">
        <v>4</v>
      </c>
      <c r="J50" s="31"/>
      <c r="K50" s="31">
        <v>1</v>
      </c>
      <c r="L50" s="31">
        <v>0</v>
      </c>
      <c r="M50" s="31">
        <v>1</v>
      </c>
      <c r="N50" s="29" t="s">
        <v>202</v>
      </c>
      <c r="O50" s="53" t="s">
        <v>1717</v>
      </c>
    </row>
    <row r="51" spans="1:15" ht="58" customHeight="1">
      <c r="A51" s="31">
        <v>50</v>
      </c>
      <c r="B51" s="31">
        <v>180</v>
      </c>
      <c r="C51" s="31" t="s">
        <v>352</v>
      </c>
      <c r="D51" s="31" t="s">
        <v>353</v>
      </c>
      <c r="E51" s="31" t="s">
        <v>88</v>
      </c>
      <c r="F51" s="32" t="s">
        <v>354</v>
      </c>
      <c r="G51" s="31">
        <v>4</v>
      </c>
      <c r="H51" s="31">
        <v>0</v>
      </c>
      <c r="I51" s="31">
        <v>2</v>
      </c>
      <c r="J51" s="53" t="s">
        <v>1718</v>
      </c>
      <c r="K51" s="31">
        <v>0</v>
      </c>
      <c r="L51" s="31">
        <v>0</v>
      </c>
      <c r="M51" s="31">
        <v>4</v>
      </c>
      <c r="N51" s="29" t="s">
        <v>202</v>
      </c>
      <c r="O51" s="53" t="s">
        <v>1719</v>
      </c>
    </row>
    <row r="52" spans="1:15" ht="58" customHeight="1">
      <c r="A52" s="31">
        <v>51</v>
      </c>
      <c r="B52" s="31">
        <v>186</v>
      </c>
      <c r="C52" s="31" t="s">
        <v>355</v>
      </c>
      <c r="D52" s="31" t="s">
        <v>356</v>
      </c>
      <c r="E52" s="31" t="s">
        <v>236</v>
      </c>
      <c r="F52" s="32" t="s">
        <v>357</v>
      </c>
      <c r="G52" s="31">
        <v>1</v>
      </c>
      <c r="H52" s="31">
        <v>0</v>
      </c>
      <c r="I52" s="31">
        <v>3</v>
      </c>
      <c r="J52" s="31"/>
      <c r="K52" s="31">
        <v>1</v>
      </c>
      <c r="L52" s="31">
        <v>0</v>
      </c>
      <c r="M52" s="31">
        <v>1</v>
      </c>
      <c r="N52" s="29" t="s">
        <v>202</v>
      </c>
      <c r="O52" s="53" t="s">
        <v>1721</v>
      </c>
    </row>
    <row r="53" spans="1:15" ht="58" customHeight="1">
      <c r="A53" s="31">
        <v>52</v>
      </c>
      <c r="B53" s="31">
        <v>190</v>
      </c>
      <c r="C53" s="31" t="s">
        <v>358</v>
      </c>
      <c r="D53" s="31" t="s">
        <v>359</v>
      </c>
      <c r="E53" s="31" t="s">
        <v>360</v>
      </c>
      <c r="F53" s="32" t="s">
        <v>361</v>
      </c>
      <c r="G53" s="31">
        <v>1</v>
      </c>
      <c r="H53" s="31">
        <v>0</v>
      </c>
      <c r="I53" s="31">
        <v>4</v>
      </c>
      <c r="J53" s="53" t="s">
        <v>1722</v>
      </c>
      <c r="K53" s="31">
        <v>1</v>
      </c>
      <c r="L53" s="31">
        <v>0</v>
      </c>
      <c r="M53" s="31">
        <v>1</v>
      </c>
      <c r="N53" s="29" t="s">
        <v>202</v>
      </c>
      <c r="O53" s="53" t="s">
        <v>1723</v>
      </c>
    </row>
    <row r="54" spans="1:15" ht="58" customHeight="1">
      <c r="A54" s="31">
        <v>53</v>
      </c>
      <c r="B54" s="31">
        <v>191</v>
      </c>
      <c r="C54" s="31" t="s">
        <v>362</v>
      </c>
      <c r="D54" s="31" t="s">
        <v>363</v>
      </c>
      <c r="E54" s="31" t="s">
        <v>222</v>
      </c>
      <c r="F54" s="32" t="s">
        <v>364</v>
      </c>
      <c r="G54" s="31">
        <v>2</v>
      </c>
      <c r="H54" s="31">
        <v>0</v>
      </c>
      <c r="I54" s="31">
        <v>5</v>
      </c>
      <c r="J54" s="53" t="s">
        <v>1724</v>
      </c>
      <c r="K54" s="31">
        <v>2</v>
      </c>
      <c r="L54" s="31">
        <v>0</v>
      </c>
      <c r="M54" s="31">
        <v>2</v>
      </c>
      <c r="N54" s="29" t="s">
        <v>202</v>
      </c>
      <c r="O54" s="53" t="s">
        <v>1725</v>
      </c>
    </row>
    <row r="55" spans="1:15" ht="58" customHeight="1">
      <c r="A55" s="31">
        <v>54</v>
      </c>
      <c r="B55" s="31">
        <v>192</v>
      </c>
      <c r="C55" s="31" t="s">
        <v>59</v>
      </c>
      <c r="D55" s="31" t="s">
        <v>365</v>
      </c>
      <c r="E55" s="31" t="s">
        <v>46</v>
      </c>
      <c r="F55" s="32" t="s">
        <v>132</v>
      </c>
      <c r="G55" s="31">
        <v>5</v>
      </c>
      <c r="H55" s="31">
        <v>5</v>
      </c>
      <c r="I55" s="31">
        <v>4</v>
      </c>
      <c r="J55" s="53" t="s">
        <v>1726</v>
      </c>
      <c r="K55" s="31">
        <v>0</v>
      </c>
      <c r="L55" s="31">
        <v>0</v>
      </c>
      <c r="M55" s="31">
        <v>5</v>
      </c>
      <c r="N55" s="29" t="s">
        <v>202</v>
      </c>
      <c r="O55" s="53" t="s">
        <v>1727</v>
      </c>
    </row>
    <row r="56" spans="1:15" ht="58" customHeight="1">
      <c r="A56" s="31">
        <v>55</v>
      </c>
      <c r="B56" s="31">
        <v>193</v>
      </c>
      <c r="C56" s="31" t="s">
        <v>366</v>
      </c>
      <c r="D56" s="31" t="s">
        <v>367</v>
      </c>
      <c r="E56" s="31" t="s">
        <v>67</v>
      </c>
      <c r="F56" s="32" t="s">
        <v>368</v>
      </c>
      <c r="G56" s="31">
        <v>1</v>
      </c>
      <c r="H56" s="31">
        <v>0</v>
      </c>
      <c r="I56" s="31">
        <v>4</v>
      </c>
      <c r="J56" s="31"/>
      <c r="K56" s="31">
        <v>1</v>
      </c>
      <c r="L56" s="31">
        <v>0</v>
      </c>
      <c r="M56" s="31">
        <v>1</v>
      </c>
      <c r="N56" s="29" t="s">
        <v>202</v>
      </c>
      <c r="O56" s="53" t="s">
        <v>1728</v>
      </c>
    </row>
    <row r="57" spans="1:15" ht="58" customHeight="1">
      <c r="A57" s="31">
        <v>56</v>
      </c>
      <c r="B57" s="31">
        <v>196</v>
      </c>
      <c r="C57" s="31" t="s">
        <v>369</v>
      </c>
      <c r="D57" s="31" t="s">
        <v>370</v>
      </c>
      <c r="E57" s="31" t="s">
        <v>226</v>
      </c>
      <c r="F57" s="32" t="s">
        <v>371</v>
      </c>
      <c r="G57" s="31">
        <v>2</v>
      </c>
      <c r="H57" s="31">
        <v>0</v>
      </c>
      <c r="I57" s="31">
        <v>3</v>
      </c>
      <c r="J57" s="31"/>
      <c r="K57" s="31">
        <v>2</v>
      </c>
      <c r="L57" s="31">
        <v>0</v>
      </c>
      <c r="M57" s="31">
        <v>2</v>
      </c>
      <c r="N57" s="29" t="s">
        <v>202</v>
      </c>
      <c r="O57" s="53" t="s">
        <v>1729</v>
      </c>
    </row>
    <row r="58" spans="1:15" ht="58" customHeight="1">
      <c r="A58" s="31">
        <v>57</v>
      </c>
      <c r="B58" s="31">
        <v>197</v>
      </c>
      <c r="C58" s="31" t="s">
        <v>372</v>
      </c>
      <c r="D58" s="31" t="s">
        <v>373</v>
      </c>
      <c r="E58" s="31" t="s">
        <v>96</v>
      </c>
      <c r="F58" s="32" t="s">
        <v>374</v>
      </c>
      <c r="G58" s="31">
        <v>2</v>
      </c>
      <c r="H58" s="31">
        <v>0</v>
      </c>
      <c r="I58" s="31">
        <v>4</v>
      </c>
      <c r="J58" s="31"/>
      <c r="K58" s="31">
        <v>2</v>
      </c>
      <c r="L58" s="31">
        <v>0</v>
      </c>
      <c r="M58" s="31">
        <v>2</v>
      </c>
      <c r="N58" s="29" t="s">
        <v>202</v>
      </c>
      <c r="O58" s="53" t="s">
        <v>1730</v>
      </c>
    </row>
    <row r="59" spans="1:15" ht="58" customHeight="1">
      <c r="A59" s="31">
        <v>58</v>
      </c>
      <c r="B59" s="31">
        <v>200</v>
      </c>
      <c r="C59" s="31" t="s">
        <v>62</v>
      </c>
      <c r="D59" s="31" t="s">
        <v>375</v>
      </c>
      <c r="E59" s="31" t="s">
        <v>63</v>
      </c>
      <c r="F59" s="32" t="s">
        <v>135</v>
      </c>
      <c r="G59" s="31">
        <v>5</v>
      </c>
      <c r="H59" s="31">
        <v>5</v>
      </c>
      <c r="I59" s="31">
        <v>1</v>
      </c>
      <c r="J59" s="53" t="s">
        <v>1731</v>
      </c>
      <c r="K59" s="31">
        <v>0</v>
      </c>
      <c r="L59" s="31">
        <v>0</v>
      </c>
      <c r="M59" s="31">
        <v>5</v>
      </c>
      <c r="N59" s="29" t="s">
        <v>202</v>
      </c>
      <c r="O59" s="53" t="s">
        <v>1732</v>
      </c>
    </row>
    <row r="60" spans="1:15" ht="58" customHeight="1">
      <c r="A60" s="31">
        <v>59</v>
      </c>
      <c r="B60" s="31">
        <v>206</v>
      </c>
      <c r="C60" s="31" t="s">
        <v>376</v>
      </c>
      <c r="D60" s="31" t="s">
        <v>377</v>
      </c>
      <c r="E60" s="31" t="s">
        <v>208</v>
      </c>
      <c r="F60" s="32" t="s">
        <v>378</v>
      </c>
      <c r="G60" s="31">
        <v>1</v>
      </c>
      <c r="H60" s="31">
        <v>0</v>
      </c>
      <c r="I60" s="31">
        <v>3</v>
      </c>
      <c r="J60" s="31"/>
      <c r="K60" s="31">
        <v>1</v>
      </c>
      <c r="L60" s="31">
        <v>0</v>
      </c>
      <c r="M60" s="31">
        <v>1</v>
      </c>
      <c r="N60" s="29" t="s">
        <v>202</v>
      </c>
      <c r="O60" s="53" t="s">
        <v>1733</v>
      </c>
    </row>
    <row r="61" spans="1:15" ht="58" customHeight="1">
      <c r="A61" s="31">
        <v>60</v>
      </c>
      <c r="B61" s="31">
        <v>208</v>
      </c>
      <c r="C61" s="31" t="s">
        <v>379</v>
      </c>
      <c r="D61" s="31" t="s">
        <v>380</v>
      </c>
      <c r="E61" s="31" t="s">
        <v>273</v>
      </c>
      <c r="F61" s="32" t="s">
        <v>381</v>
      </c>
      <c r="G61" s="31">
        <v>5</v>
      </c>
      <c r="H61" s="31">
        <v>0</v>
      </c>
      <c r="I61" s="31">
        <v>3</v>
      </c>
      <c r="J61" s="31"/>
      <c r="K61" s="31">
        <v>5</v>
      </c>
      <c r="L61" s="31">
        <v>0</v>
      </c>
      <c r="M61" s="31">
        <v>5</v>
      </c>
      <c r="N61" s="29" t="s">
        <v>202</v>
      </c>
      <c r="O61" s="53" t="s">
        <v>1734</v>
      </c>
    </row>
    <row r="62" spans="1:15" ht="58" customHeight="1">
      <c r="A62" s="31">
        <v>61</v>
      </c>
      <c r="B62" s="31">
        <v>214</v>
      </c>
      <c r="C62" s="31" t="s">
        <v>382</v>
      </c>
      <c r="D62" s="31" t="s">
        <v>383</v>
      </c>
      <c r="E62" s="31" t="s">
        <v>57</v>
      </c>
      <c r="F62" s="32" t="s">
        <v>384</v>
      </c>
      <c r="G62" s="31">
        <v>1</v>
      </c>
      <c r="H62" s="31">
        <v>0</v>
      </c>
      <c r="I62" s="31">
        <v>3</v>
      </c>
      <c r="J62" s="53" t="s">
        <v>1735</v>
      </c>
      <c r="K62" s="31">
        <v>0</v>
      </c>
      <c r="L62" s="31">
        <v>0</v>
      </c>
      <c r="M62" s="31">
        <v>0</v>
      </c>
      <c r="N62" s="29" t="s">
        <v>202</v>
      </c>
      <c r="O62" s="53" t="s">
        <v>1735</v>
      </c>
    </row>
    <row r="63" spans="1:15" ht="58" customHeight="1">
      <c r="A63" s="31">
        <v>62</v>
      </c>
      <c r="B63" s="31">
        <v>215</v>
      </c>
      <c r="C63" s="31" t="s">
        <v>66</v>
      </c>
      <c r="D63" s="31" t="s">
        <v>385</v>
      </c>
      <c r="E63" s="31" t="s">
        <v>67</v>
      </c>
      <c r="F63" s="32" t="s">
        <v>138</v>
      </c>
      <c r="G63" s="31">
        <v>4</v>
      </c>
      <c r="H63" s="31">
        <v>5</v>
      </c>
      <c r="I63" s="31">
        <v>2</v>
      </c>
      <c r="J63" s="31" t="s">
        <v>1736</v>
      </c>
      <c r="K63" s="31">
        <v>0</v>
      </c>
      <c r="L63" s="31">
        <v>0</v>
      </c>
      <c r="M63" s="31">
        <v>4</v>
      </c>
      <c r="N63" s="29" t="s">
        <v>202</v>
      </c>
      <c r="O63" s="53" t="s">
        <v>1737</v>
      </c>
    </row>
    <row r="64" spans="1:15" ht="58" customHeight="1">
      <c r="A64" s="31">
        <v>63</v>
      </c>
      <c r="B64" s="31">
        <v>222</v>
      </c>
      <c r="C64" s="31" t="s">
        <v>386</v>
      </c>
      <c r="D64" s="31" t="s">
        <v>387</v>
      </c>
      <c r="E64" s="31" t="s">
        <v>388</v>
      </c>
      <c r="F64" s="32" t="s">
        <v>389</v>
      </c>
      <c r="G64" s="31">
        <v>1</v>
      </c>
      <c r="H64" s="31">
        <v>0</v>
      </c>
      <c r="I64" s="31">
        <v>5</v>
      </c>
      <c r="J64" s="53" t="s">
        <v>1738</v>
      </c>
      <c r="K64" s="31">
        <v>0</v>
      </c>
      <c r="L64" s="31">
        <v>0</v>
      </c>
      <c r="M64" s="31">
        <v>1</v>
      </c>
      <c r="N64" s="29" t="s">
        <v>202</v>
      </c>
      <c r="O64" s="53" t="s">
        <v>1739</v>
      </c>
    </row>
    <row r="65" spans="1:15" ht="58" customHeight="1">
      <c r="A65" s="31">
        <v>64</v>
      </c>
      <c r="B65" s="31">
        <v>223</v>
      </c>
      <c r="C65" s="31" t="s">
        <v>390</v>
      </c>
      <c r="D65" s="31" t="s">
        <v>391</v>
      </c>
      <c r="E65" s="31" t="s">
        <v>388</v>
      </c>
      <c r="F65" s="32" t="s">
        <v>392</v>
      </c>
      <c r="G65" s="31">
        <v>2</v>
      </c>
      <c r="H65" s="31">
        <v>0</v>
      </c>
      <c r="I65" s="31">
        <v>3</v>
      </c>
      <c r="J65" s="31"/>
      <c r="K65" s="31">
        <v>2</v>
      </c>
      <c r="L65" s="31">
        <v>0</v>
      </c>
      <c r="M65" s="31">
        <v>2</v>
      </c>
      <c r="N65" s="29" t="s">
        <v>202</v>
      </c>
      <c r="O65" s="53" t="s">
        <v>1740</v>
      </c>
    </row>
    <row r="66" spans="1:15" ht="58" customHeight="1">
      <c r="A66" s="31">
        <v>65</v>
      </c>
      <c r="B66" s="31">
        <v>231</v>
      </c>
      <c r="C66" s="31" t="s">
        <v>393</v>
      </c>
      <c r="D66" s="31" t="s">
        <v>394</v>
      </c>
      <c r="E66" s="31" t="s">
        <v>236</v>
      </c>
      <c r="F66" s="32" t="s">
        <v>395</v>
      </c>
      <c r="G66" s="31">
        <v>1</v>
      </c>
      <c r="H66" s="31">
        <v>0</v>
      </c>
      <c r="I66" s="31">
        <v>4</v>
      </c>
      <c r="J66" s="31"/>
      <c r="K66" s="31">
        <v>1</v>
      </c>
      <c r="L66" s="31">
        <v>0</v>
      </c>
      <c r="M66" s="31">
        <v>1</v>
      </c>
      <c r="N66" s="29" t="s">
        <v>202</v>
      </c>
      <c r="O66" s="53" t="s">
        <v>1741</v>
      </c>
    </row>
    <row r="67" spans="1:15" ht="58" customHeight="1">
      <c r="A67" s="31">
        <v>66</v>
      </c>
      <c r="B67" s="31">
        <v>234</v>
      </c>
      <c r="C67" s="31" t="s">
        <v>396</v>
      </c>
      <c r="D67" s="31" t="s">
        <v>397</v>
      </c>
      <c r="E67" s="31" t="s">
        <v>67</v>
      </c>
      <c r="F67" s="32" t="s">
        <v>398</v>
      </c>
      <c r="G67" s="31">
        <v>2</v>
      </c>
      <c r="H67" s="31">
        <v>0</v>
      </c>
      <c r="I67" s="31">
        <v>2</v>
      </c>
      <c r="J67" s="31"/>
      <c r="K67" s="31">
        <v>2</v>
      </c>
      <c r="L67" s="31">
        <v>0</v>
      </c>
      <c r="M67" s="31">
        <v>0</v>
      </c>
      <c r="N67" s="29" t="s">
        <v>202</v>
      </c>
      <c r="O67" s="53" t="s">
        <v>1742</v>
      </c>
    </row>
    <row r="68" spans="1:15" ht="58" customHeight="1">
      <c r="A68" s="31">
        <v>67</v>
      </c>
      <c r="B68" s="31">
        <v>236</v>
      </c>
      <c r="C68" s="31" t="s">
        <v>399</v>
      </c>
      <c r="D68" s="31" t="s">
        <v>400</v>
      </c>
      <c r="E68" s="31" t="s">
        <v>350</v>
      </c>
      <c r="F68" s="32" t="s">
        <v>401</v>
      </c>
      <c r="G68" s="31">
        <v>1</v>
      </c>
      <c r="H68" s="31">
        <v>0</v>
      </c>
      <c r="I68" s="31">
        <v>3</v>
      </c>
      <c r="J68" s="31"/>
      <c r="K68" s="31">
        <v>1</v>
      </c>
      <c r="L68" s="31">
        <v>0</v>
      </c>
      <c r="M68" s="31">
        <v>1</v>
      </c>
      <c r="N68" s="29" t="s">
        <v>202</v>
      </c>
      <c r="O68" s="53" t="s">
        <v>1743</v>
      </c>
    </row>
    <row r="69" spans="1:15" ht="58" customHeight="1">
      <c r="A69" s="31">
        <v>68</v>
      </c>
      <c r="B69" s="31">
        <v>237</v>
      </c>
      <c r="C69" s="31" t="s">
        <v>402</v>
      </c>
      <c r="D69" s="31" t="s">
        <v>403</v>
      </c>
      <c r="E69" s="31" t="s">
        <v>226</v>
      </c>
      <c r="F69" s="32" t="s">
        <v>404</v>
      </c>
      <c r="G69" s="31">
        <v>1</v>
      </c>
      <c r="H69" s="31">
        <v>0</v>
      </c>
      <c r="I69" s="31">
        <v>2</v>
      </c>
      <c r="J69" s="53" t="s">
        <v>1744</v>
      </c>
      <c r="K69" s="31">
        <v>1</v>
      </c>
      <c r="L69" s="31">
        <v>0</v>
      </c>
      <c r="M69" s="31">
        <v>1</v>
      </c>
      <c r="N69" s="29" t="s">
        <v>202</v>
      </c>
      <c r="O69" s="53" t="s">
        <v>1745</v>
      </c>
    </row>
    <row r="70" spans="1:15" ht="58" customHeight="1">
      <c r="A70" s="31">
        <v>69</v>
      </c>
      <c r="B70" s="31">
        <v>242</v>
      </c>
      <c r="C70" s="31" t="s">
        <v>405</v>
      </c>
      <c r="D70" s="31" t="s">
        <v>406</v>
      </c>
      <c r="E70" s="31" t="s">
        <v>218</v>
      </c>
      <c r="F70" s="32" t="s">
        <v>407</v>
      </c>
      <c r="G70" s="31">
        <v>3</v>
      </c>
      <c r="H70" s="31">
        <v>0</v>
      </c>
      <c r="I70" s="31">
        <v>4</v>
      </c>
      <c r="J70" s="31"/>
      <c r="K70" s="31">
        <v>1</v>
      </c>
      <c r="L70" s="31">
        <v>0</v>
      </c>
      <c r="M70" s="31">
        <v>3</v>
      </c>
      <c r="N70" s="29" t="s">
        <v>202</v>
      </c>
      <c r="O70" s="53" t="s">
        <v>1746</v>
      </c>
    </row>
    <row r="71" spans="1:15" ht="58" customHeight="1">
      <c r="A71" s="31">
        <v>70</v>
      </c>
      <c r="B71" s="31">
        <v>243</v>
      </c>
      <c r="C71" s="31" t="s">
        <v>408</v>
      </c>
      <c r="D71" s="31" t="s">
        <v>409</v>
      </c>
      <c r="E71" s="31" t="s">
        <v>67</v>
      </c>
      <c r="F71" s="32" t="s">
        <v>410</v>
      </c>
      <c r="G71" s="31">
        <v>1</v>
      </c>
      <c r="H71" s="31">
        <v>0</v>
      </c>
      <c r="I71" s="31">
        <v>3</v>
      </c>
      <c r="J71" s="31" t="s">
        <v>1748</v>
      </c>
      <c r="K71" s="31">
        <v>0</v>
      </c>
      <c r="L71" s="31">
        <v>0</v>
      </c>
      <c r="M71" s="31">
        <v>1</v>
      </c>
      <c r="N71" s="29" t="s">
        <v>202</v>
      </c>
      <c r="O71" s="53" t="s">
        <v>1747</v>
      </c>
    </row>
    <row r="72" spans="1:15" ht="58" customHeight="1">
      <c r="A72" s="31">
        <v>71</v>
      </c>
      <c r="B72" s="31">
        <v>244</v>
      </c>
      <c r="C72" s="31" t="s">
        <v>411</v>
      </c>
      <c r="D72" s="31" t="s">
        <v>412</v>
      </c>
      <c r="E72" s="31" t="s">
        <v>226</v>
      </c>
      <c r="F72" s="32" t="s">
        <v>413</v>
      </c>
      <c r="G72" s="31">
        <v>1</v>
      </c>
      <c r="H72" s="31">
        <v>0</v>
      </c>
      <c r="I72" s="31">
        <v>3</v>
      </c>
      <c r="J72" s="31"/>
      <c r="K72" s="31">
        <v>1</v>
      </c>
      <c r="L72" s="31">
        <v>0</v>
      </c>
      <c r="M72" s="31">
        <v>1</v>
      </c>
      <c r="N72" s="29" t="s">
        <v>202</v>
      </c>
      <c r="O72" s="53" t="s">
        <v>1749</v>
      </c>
    </row>
    <row r="73" spans="1:15" ht="58" customHeight="1">
      <c r="A73" s="31">
        <v>72</v>
      </c>
      <c r="B73" s="31">
        <v>245</v>
      </c>
      <c r="C73" s="31" t="s">
        <v>414</v>
      </c>
      <c r="D73" s="31" t="s">
        <v>415</v>
      </c>
      <c r="E73" s="31" t="s">
        <v>41</v>
      </c>
      <c r="F73" s="32" t="s">
        <v>416</v>
      </c>
      <c r="G73" s="31">
        <v>1</v>
      </c>
      <c r="H73" s="31">
        <v>0</v>
      </c>
      <c r="I73" s="31">
        <v>3</v>
      </c>
      <c r="J73" s="31"/>
      <c r="K73" s="31">
        <v>1</v>
      </c>
      <c r="L73" s="31">
        <v>0</v>
      </c>
      <c r="M73" s="31">
        <v>1</v>
      </c>
      <c r="N73" s="29" t="s">
        <v>202</v>
      </c>
      <c r="O73" s="53" t="s">
        <v>1750</v>
      </c>
    </row>
    <row r="74" spans="1:15" ht="58" customHeight="1">
      <c r="A74" s="31">
        <v>73</v>
      </c>
      <c r="B74" s="31">
        <v>251</v>
      </c>
      <c r="C74" s="31" t="s">
        <v>417</v>
      </c>
      <c r="D74" s="31" t="s">
        <v>418</v>
      </c>
      <c r="E74" s="31" t="s">
        <v>96</v>
      </c>
      <c r="F74" s="32" t="s">
        <v>419</v>
      </c>
      <c r="G74" s="31">
        <v>2</v>
      </c>
      <c r="H74" s="31">
        <v>0</v>
      </c>
      <c r="I74" s="31">
        <v>4</v>
      </c>
      <c r="J74" s="31"/>
      <c r="K74" s="31">
        <v>2</v>
      </c>
      <c r="L74" s="31">
        <v>0</v>
      </c>
      <c r="M74" s="31">
        <v>2</v>
      </c>
      <c r="N74" s="29" t="s">
        <v>202</v>
      </c>
      <c r="O74" s="53" t="s">
        <v>1751</v>
      </c>
    </row>
    <row r="75" spans="1:15" ht="58" customHeight="1">
      <c r="A75" s="31">
        <v>74</v>
      </c>
      <c r="B75" s="31">
        <v>255</v>
      </c>
      <c r="C75" s="31" t="s">
        <v>420</v>
      </c>
      <c r="D75" s="31" t="s">
        <v>421</v>
      </c>
      <c r="E75" s="31" t="s">
        <v>269</v>
      </c>
      <c r="F75" s="32" t="s">
        <v>422</v>
      </c>
      <c r="G75" s="31">
        <v>1</v>
      </c>
      <c r="H75" s="31">
        <v>0</v>
      </c>
      <c r="I75" s="31">
        <v>4</v>
      </c>
      <c r="J75" s="31"/>
      <c r="K75" s="31">
        <v>1</v>
      </c>
      <c r="L75" s="31">
        <v>0</v>
      </c>
      <c r="M75" s="31">
        <v>1</v>
      </c>
      <c r="N75" s="29" t="s">
        <v>202</v>
      </c>
      <c r="O75" s="53" t="s">
        <v>1752</v>
      </c>
    </row>
    <row r="76" spans="1:15" ht="58" customHeight="1">
      <c r="A76" s="31">
        <v>75</v>
      </c>
      <c r="B76" s="31">
        <v>256</v>
      </c>
      <c r="C76" s="31" t="s">
        <v>423</v>
      </c>
      <c r="D76" s="31" t="s">
        <v>424</v>
      </c>
      <c r="E76" s="31" t="s">
        <v>88</v>
      </c>
      <c r="F76" s="32" t="s">
        <v>425</v>
      </c>
      <c r="G76" s="31">
        <v>1</v>
      </c>
      <c r="H76" s="31">
        <v>0</v>
      </c>
      <c r="I76" s="31">
        <v>3</v>
      </c>
      <c r="J76" s="31"/>
      <c r="K76" s="31">
        <v>1</v>
      </c>
      <c r="L76" s="31">
        <v>0</v>
      </c>
      <c r="M76" s="31">
        <v>1</v>
      </c>
      <c r="N76" s="29" t="s">
        <v>202</v>
      </c>
      <c r="O76" s="53" t="s">
        <v>1753</v>
      </c>
    </row>
    <row r="77" spans="1:15" ht="58" customHeight="1">
      <c r="A77" s="31">
        <v>76</v>
      </c>
      <c r="B77" s="31">
        <v>258</v>
      </c>
      <c r="C77" s="31" t="s">
        <v>426</v>
      </c>
      <c r="D77" s="31" t="s">
        <v>427</v>
      </c>
      <c r="E77" s="31" t="s">
        <v>67</v>
      </c>
      <c r="F77" s="32" t="s">
        <v>428</v>
      </c>
      <c r="G77" s="31">
        <v>1</v>
      </c>
      <c r="H77" s="31">
        <v>0</v>
      </c>
      <c r="I77" s="31">
        <v>2</v>
      </c>
      <c r="J77" s="31"/>
      <c r="K77" s="31">
        <v>1</v>
      </c>
      <c r="L77" s="31">
        <v>0</v>
      </c>
      <c r="M77" s="31">
        <v>1</v>
      </c>
      <c r="N77" s="29" t="s">
        <v>202</v>
      </c>
      <c r="O77" s="53" t="s">
        <v>1754</v>
      </c>
    </row>
    <row r="78" spans="1:15" ht="58" customHeight="1">
      <c r="A78" s="31">
        <v>77</v>
      </c>
      <c r="B78" s="31">
        <v>259</v>
      </c>
      <c r="C78" s="31" t="s">
        <v>429</v>
      </c>
      <c r="D78" s="31" t="s">
        <v>430</v>
      </c>
      <c r="E78" s="31" t="s">
        <v>76</v>
      </c>
      <c r="F78" s="32" t="s">
        <v>431</v>
      </c>
      <c r="G78" s="31">
        <v>1</v>
      </c>
      <c r="H78" s="31">
        <v>0</v>
      </c>
      <c r="I78" s="31">
        <v>4</v>
      </c>
      <c r="J78" s="31"/>
      <c r="K78" s="31">
        <v>1</v>
      </c>
      <c r="L78" s="31">
        <v>0</v>
      </c>
      <c r="M78" s="31">
        <v>1</v>
      </c>
      <c r="N78" s="29" t="s">
        <v>202</v>
      </c>
      <c r="O78" s="53" t="s">
        <v>1755</v>
      </c>
    </row>
    <row r="79" spans="1:15" ht="58" customHeight="1">
      <c r="A79" s="31">
        <v>78</v>
      </c>
      <c r="B79" s="31">
        <v>263</v>
      </c>
      <c r="C79" s="31" t="s">
        <v>432</v>
      </c>
      <c r="D79" s="31" t="s">
        <v>433</v>
      </c>
      <c r="E79" s="31" t="s">
        <v>226</v>
      </c>
      <c r="F79" s="32" t="s">
        <v>434</v>
      </c>
      <c r="G79" s="31">
        <v>1</v>
      </c>
      <c r="H79" s="31">
        <v>0</v>
      </c>
      <c r="I79" s="31">
        <v>2</v>
      </c>
      <c r="J79" s="31"/>
      <c r="K79" s="31">
        <v>1</v>
      </c>
      <c r="L79" s="31">
        <v>0</v>
      </c>
      <c r="M79" s="31">
        <v>1</v>
      </c>
      <c r="N79" s="29" t="s">
        <v>202</v>
      </c>
      <c r="O79" s="53" t="s">
        <v>1756</v>
      </c>
    </row>
    <row r="80" spans="1:15" ht="58" customHeight="1">
      <c r="A80" s="31">
        <v>79</v>
      </c>
      <c r="B80" s="31">
        <v>265</v>
      </c>
      <c r="C80" s="31" t="s">
        <v>435</v>
      </c>
      <c r="D80" s="31" t="s">
        <v>436</v>
      </c>
      <c r="E80" s="31" t="s">
        <v>67</v>
      </c>
      <c r="F80" s="32" t="s">
        <v>437</v>
      </c>
      <c r="G80" s="31">
        <v>3</v>
      </c>
      <c r="H80" s="31">
        <v>0</v>
      </c>
      <c r="I80" s="31">
        <v>5</v>
      </c>
      <c r="J80" s="31"/>
      <c r="K80" s="31">
        <v>3</v>
      </c>
      <c r="L80" s="31">
        <v>0</v>
      </c>
      <c r="M80" s="31">
        <v>3</v>
      </c>
      <c r="N80" s="29" t="s">
        <v>202</v>
      </c>
      <c r="O80" s="53" t="s">
        <v>1757</v>
      </c>
    </row>
    <row r="81" spans="1:15" ht="58" customHeight="1">
      <c r="A81" s="31">
        <v>80</v>
      </c>
      <c r="B81" s="31">
        <v>267</v>
      </c>
      <c r="C81" s="31" t="s">
        <v>438</v>
      </c>
      <c r="D81" s="31" t="s">
        <v>439</v>
      </c>
      <c r="E81" s="31" t="s">
        <v>328</v>
      </c>
      <c r="F81" s="32" t="s">
        <v>440</v>
      </c>
      <c r="G81" s="31">
        <v>3</v>
      </c>
      <c r="H81" s="31">
        <v>0</v>
      </c>
      <c r="I81" s="31">
        <v>4</v>
      </c>
      <c r="J81" s="31"/>
      <c r="K81" s="31">
        <v>3</v>
      </c>
      <c r="L81" s="31">
        <v>0</v>
      </c>
      <c r="M81" s="31">
        <v>3</v>
      </c>
      <c r="N81" s="29" t="s">
        <v>202</v>
      </c>
      <c r="O81" s="53" t="s">
        <v>1758</v>
      </c>
    </row>
    <row r="82" spans="1:15" ht="58" customHeight="1">
      <c r="A82" s="31">
        <v>81</v>
      </c>
      <c r="B82" s="31">
        <v>271</v>
      </c>
      <c r="C82" s="31" t="s">
        <v>441</v>
      </c>
      <c r="D82" s="31" t="s">
        <v>442</v>
      </c>
      <c r="E82" s="31" t="s">
        <v>243</v>
      </c>
      <c r="F82" s="32" t="s">
        <v>443</v>
      </c>
      <c r="G82" s="31">
        <v>2</v>
      </c>
      <c r="H82" s="31">
        <v>0</v>
      </c>
      <c r="I82" s="31">
        <v>4</v>
      </c>
      <c r="J82" s="31"/>
      <c r="K82" s="31">
        <v>2</v>
      </c>
      <c r="L82" s="31">
        <v>0</v>
      </c>
      <c r="M82" s="31">
        <v>2</v>
      </c>
      <c r="N82" s="29" t="s">
        <v>202</v>
      </c>
      <c r="O82" s="53" t="s">
        <v>1759</v>
      </c>
    </row>
    <row r="83" spans="1:15" ht="58" customHeight="1">
      <c r="A83" s="31">
        <v>82</v>
      </c>
      <c r="B83" s="31">
        <v>276</v>
      </c>
      <c r="C83" s="31" t="s">
        <v>444</v>
      </c>
      <c r="D83" s="31" t="s">
        <v>445</v>
      </c>
      <c r="E83" s="31" t="s">
        <v>96</v>
      </c>
      <c r="F83" s="32" t="s">
        <v>446</v>
      </c>
      <c r="G83" s="31">
        <v>1</v>
      </c>
      <c r="H83" s="31">
        <v>0</v>
      </c>
      <c r="I83" s="31">
        <v>4</v>
      </c>
      <c r="J83" s="31"/>
      <c r="K83" s="31">
        <v>1</v>
      </c>
      <c r="L83" s="31">
        <v>0</v>
      </c>
      <c r="M83" s="31">
        <v>1</v>
      </c>
      <c r="N83" s="29" t="s">
        <v>202</v>
      </c>
      <c r="O83" s="53" t="s">
        <v>1760</v>
      </c>
    </row>
    <row r="84" spans="1:15" ht="58" customHeight="1">
      <c r="A84" s="31">
        <v>83</v>
      </c>
      <c r="B84" s="31">
        <v>278</v>
      </c>
      <c r="C84" s="31" t="s">
        <v>447</v>
      </c>
      <c r="D84" s="31" t="s">
        <v>448</v>
      </c>
      <c r="E84" s="31" t="s">
        <v>360</v>
      </c>
      <c r="F84" s="32" t="s">
        <v>449</v>
      </c>
      <c r="G84" s="31">
        <v>1</v>
      </c>
      <c r="H84" s="31">
        <v>0</v>
      </c>
      <c r="I84" s="31">
        <v>4</v>
      </c>
      <c r="J84" s="31"/>
      <c r="K84" s="31">
        <v>1</v>
      </c>
      <c r="L84" s="31">
        <v>0</v>
      </c>
      <c r="M84" s="31">
        <v>1</v>
      </c>
      <c r="N84" s="29" t="s">
        <v>202</v>
      </c>
      <c r="O84" s="53" t="s">
        <v>1761</v>
      </c>
    </row>
    <row r="85" spans="1:15" ht="58" customHeight="1">
      <c r="A85" s="31">
        <v>84</v>
      </c>
      <c r="B85" s="31">
        <v>283</v>
      </c>
      <c r="C85" s="31" t="s">
        <v>450</v>
      </c>
      <c r="D85" s="31" t="s">
        <v>451</v>
      </c>
      <c r="E85" s="31" t="s">
        <v>41</v>
      </c>
      <c r="F85" s="32" t="s">
        <v>452</v>
      </c>
      <c r="G85" s="31">
        <v>1</v>
      </c>
      <c r="H85" s="31">
        <v>0</v>
      </c>
      <c r="I85" s="31">
        <v>2</v>
      </c>
      <c r="J85" s="31"/>
      <c r="K85" s="31">
        <v>1</v>
      </c>
      <c r="L85" s="31">
        <v>0</v>
      </c>
      <c r="M85" s="31">
        <v>1</v>
      </c>
      <c r="N85" s="29" t="s">
        <v>202</v>
      </c>
      <c r="O85" s="53" t="s">
        <v>1762</v>
      </c>
    </row>
    <row r="86" spans="1:15" ht="58" customHeight="1">
      <c r="A86" s="31">
        <v>85</v>
      </c>
      <c r="B86" s="31">
        <v>286</v>
      </c>
      <c r="C86" s="31" t="s">
        <v>453</v>
      </c>
      <c r="D86" s="31" t="s">
        <v>454</v>
      </c>
      <c r="E86" s="31" t="s">
        <v>57</v>
      </c>
      <c r="F86" s="32" t="s">
        <v>455</v>
      </c>
      <c r="G86" s="31">
        <v>1</v>
      </c>
      <c r="H86" s="31">
        <v>0</v>
      </c>
      <c r="I86" s="31">
        <v>3</v>
      </c>
      <c r="J86" s="31"/>
      <c r="K86" s="31">
        <v>1</v>
      </c>
      <c r="L86" s="31">
        <v>0</v>
      </c>
      <c r="M86" s="31">
        <v>1</v>
      </c>
      <c r="N86" s="29" t="s">
        <v>202</v>
      </c>
      <c r="O86" s="53" t="s">
        <v>1763</v>
      </c>
    </row>
    <row r="87" spans="1:15" ht="58" customHeight="1">
      <c r="A87" s="31">
        <v>86</v>
      </c>
      <c r="B87" s="31">
        <v>287</v>
      </c>
      <c r="C87" s="31" t="s">
        <v>70</v>
      </c>
      <c r="D87" s="31" t="s">
        <v>456</v>
      </c>
      <c r="E87" s="31" t="s">
        <v>41</v>
      </c>
      <c r="F87" s="32" t="s">
        <v>141</v>
      </c>
      <c r="G87" s="31">
        <v>5</v>
      </c>
      <c r="H87" s="31">
        <v>5</v>
      </c>
      <c r="I87" s="31">
        <v>3</v>
      </c>
      <c r="J87" s="31" t="s">
        <v>23</v>
      </c>
      <c r="K87" s="31">
        <v>0</v>
      </c>
      <c r="L87" s="31">
        <v>0</v>
      </c>
      <c r="M87" s="31">
        <v>5</v>
      </c>
      <c r="N87" s="29" t="s">
        <v>202</v>
      </c>
      <c r="O87" s="53" t="s">
        <v>1764</v>
      </c>
    </row>
    <row r="88" spans="1:15" ht="58" customHeight="1">
      <c r="A88" s="31">
        <v>87</v>
      </c>
      <c r="B88" s="31">
        <v>294</v>
      </c>
      <c r="C88" s="31" t="s">
        <v>457</v>
      </c>
      <c r="D88" s="31" t="s">
        <v>458</v>
      </c>
      <c r="E88" s="31" t="s">
        <v>269</v>
      </c>
      <c r="F88" s="32" t="s">
        <v>459</v>
      </c>
      <c r="G88" s="31">
        <v>2</v>
      </c>
      <c r="H88" s="31">
        <v>0</v>
      </c>
      <c r="I88" s="31">
        <v>5</v>
      </c>
      <c r="J88" s="31"/>
      <c r="K88" s="31">
        <v>1</v>
      </c>
      <c r="L88" s="31">
        <v>0</v>
      </c>
      <c r="M88" s="31">
        <v>2</v>
      </c>
      <c r="N88" s="29" t="s">
        <v>202</v>
      </c>
      <c r="O88" s="53" t="s">
        <v>1766</v>
      </c>
    </row>
    <row r="89" spans="1:15" ht="58" customHeight="1">
      <c r="A89" s="31">
        <v>88</v>
      </c>
      <c r="B89" s="31">
        <v>296</v>
      </c>
      <c r="C89" s="31" t="s">
        <v>460</v>
      </c>
      <c r="D89" s="31" t="s">
        <v>461</v>
      </c>
      <c r="E89" s="31" t="s">
        <v>63</v>
      </c>
      <c r="F89" s="32" t="s">
        <v>462</v>
      </c>
      <c r="G89" s="31">
        <v>1</v>
      </c>
      <c r="H89" s="31">
        <v>0</v>
      </c>
      <c r="I89" s="31">
        <v>2</v>
      </c>
      <c r="J89" s="31"/>
      <c r="K89" s="31">
        <v>1</v>
      </c>
      <c r="L89" s="31">
        <v>0</v>
      </c>
      <c r="M89" s="31">
        <v>1</v>
      </c>
      <c r="N89" s="29" t="s">
        <v>202</v>
      </c>
      <c r="O89" s="53" t="s">
        <v>1769</v>
      </c>
    </row>
    <row r="90" spans="1:15" ht="58" customHeight="1">
      <c r="A90" s="31">
        <v>89</v>
      </c>
      <c r="B90" s="31">
        <v>298</v>
      </c>
      <c r="C90" s="31" t="s">
        <v>463</v>
      </c>
      <c r="D90" s="31" t="s">
        <v>464</v>
      </c>
      <c r="E90" s="31" t="s">
        <v>328</v>
      </c>
      <c r="F90" s="32" t="s">
        <v>465</v>
      </c>
      <c r="G90" s="31">
        <v>1</v>
      </c>
      <c r="H90" s="31">
        <v>0</v>
      </c>
      <c r="I90" s="31">
        <v>3</v>
      </c>
      <c r="J90" s="31"/>
      <c r="K90" s="31">
        <v>1</v>
      </c>
      <c r="L90" s="31">
        <v>0</v>
      </c>
      <c r="M90" s="31">
        <v>1</v>
      </c>
      <c r="N90" s="29" t="s">
        <v>202</v>
      </c>
      <c r="O90" s="53" t="s">
        <v>1770</v>
      </c>
    </row>
    <row r="91" spans="1:15" ht="58" customHeight="1">
      <c r="A91" s="31">
        <v>90</v>
      </c>
      <c r="B91" s="31">
        <v>299</v>
      </c>
      <c r="C91" s="31" t="s">
        <v>466</v>
      </c>
      <c r="D91" s="31" t="s">
        <v>467</v>
      </c>
      <c r="E91" s="31" t="s">
        <v>328</v>
      </c>
      <c r="F91" s="32" t="s">
        <v>468</v>
      </c>
      <c r="G91" s="31">
        <v>2</v>
      </c>
      <c r="H91" s="31">
        <v>0</v>
      </c>
      <c r="I91" s="31">
        <v>3</v>
      </c>
      <c r="J91" s="31"/>
      <c r="K91" s="31">
        <v>2</v>
      </c>
      <c r="L91" s="31">
        <v>0</v>
      </c>
      <c r="M91" s="31">
        <v>2</v>
      </c>
      <c r="N91" s="29" t="s">
        <v>202</v>
      </c>
      <c r="O91" s="53" t="s">
        <v>1771</v>
      </c>
    </row>
    <row r="92" spans="1:15" ht="58" customHeight="1">
      <c r="A92" s="31">
        <v>91</v>
      </c>
      <c r="B92" s="31">
        <v>305</v>
      </c>
      <c r="C92" s="31" t="s">
        <v>469</v>
      </c>
      <c r="D92" s="31" t="s">
        <v>470</v>
      </c>
      <c r="E92" s="31" t="s">
        <v>46</v>
      </c>
      <c r="F92" s="32" t="s">
        <v>471</v>
      </c>
      <c r="G92" s="31">
        <v>1</v>
      </c>
      <c r="H92" s="31">
        <v>0</v>
      </c>
      <c r="I92" s="31">
        <v>4</v>
      </c>
      <c r="J92" s="31"/>
      <c r="K92" s="31">
        <v>0</v>
      </c>
      <c r="L92" s="31">
        <v>0</v>
      </c>
      <c r="M92" s="31">
        <v>1</v>
      </c>
      <c r="N92" s="29" t="s">
        <v>202</v>
      </c>
      <c r="O92" s="53" t="s">
        <v>1772</v>
      </c>
    </row>
    <row r="93" spans="1:15" ht="58" customHeight="1">
      <c r="A93" s="31">
        <v>92</v>
      </c>
      <c r="B93" s="31">
        <v>306</v>
      </c>
      <c r="C93" s="31" t="s">
        <v>472</v>
      </c>
      <c r="D93" s="31" t="s">
        <v>473</v>
      </c>
      <c r="E93" s="31" t="s">
        <v>96</v>
      </c>
      <c r="F93" s="32" t="s">
        <v>474</v>
      </c>
      <c r="G93" s="31">
        <v>2</v>
      </c>
      <c r="H93" s="31">
        <v>0</v>
      </c>
      <c r="I93" s="31">
        <v>3</v>
      </c>
      <c r="J93" s="31"/>
      <c r="K93" s="31">
        <v>2</v>
      </c>
      <c r="L93" s="31">
        <v>0</v>
      </c>
      <c r="M93" s="31">
        <v>2</v>
      </c>
      <c r="N93" s="29" t="s">
        <v>202</v>
      </c>
      <c r="O93" s="53" t="s">
        <v>1773</v>
      </c>
    </row>
    <row r="94" spans="1:15" ht="58" customHeight="1">
      <c r="A94" s="31">
        <v>93</v>
      </c>
      <c r="B94" s="31">
        <v>315</v>
      </c>
      <c r="C94" s="31" t="s">
        <v>475</v>
      </c>
      <c r="D94" s="31" t="s">
        <v>476</v>
      </c>
      <c r="E94" s="31" t="s">
        <v>46</v>
      </c>
      <c r="F94" s="32" t="s">
        <v>477</v>
      </c>
      <c r="G94" s="31">
        <v>1</v>
      </c>
      <c r="H94" s="31">
        <v>0</v>
      </c>
      <c r="I94" s="31">
        <v>4</v>
      </c>
      <c r="J94" s="31"/>
      <c r="K94" s="31">
        <v>0</v>
      </c>
      <c r="L94" s="31">
        <v>0</v>
      </c>
      <c r="M94" s="31">
        <v>1</v>
      </c>
      <c r="N94" s="29" t="s">
        <v>202</v>
      </c>
      <c r="O94" s="53" t="s">
        <v>1774</v>
      </c>
    </row>
    <row r="95" spans="1:15" ht="58" customHeight="1">
      <c r="A95" s="31">
        <v>94</v>
      </c>
      <c r="B95" s="31">
        <v>316</v>
      </c>
      <c r="C95" s="31" t="s">
        <v>478</v>
      </c>
      <c r="D95" s="31" t="s">
        <v>479</v>
      </c>
      <c r="E95" s="31" t="s">
        <v>218</v>
      </c>
      <c r="F95" s="32" t="s">
        <v>480</v>
      </c>
      <c r="G95" s="31">
        <v>1</v>
      </c>
      <c r="H95" s="31">
        <v>0</v>
      </c>
      <c r="I95" s="31">
        <v>4</v>
      </c>
      <c r="J95" s="31"/>
      <c r="K95" s="31">
        <v>0</v>
      </c>
      <c r="L95" s="31">
        <v>0</v>
      </c>
      <c r="M95" s="31">
        <v>1</v>
      </c>
      <c r="N95" s="29" t="s">
        <v>202</v>
      </c>
      <c r="O95" s="53" t="s">
        <v>1775</v>
      </c>
    </row>
    <row r="96" spans="1:15" ht="58" customHeight="1">
      <c r="A96" s="31">
        <v>95</v>
      </c>
      <c r="B96" s="31">
        <v>320</v>
      </c>
      <c r="C96" s="31" t="s">
        <v>481</v>
      </c>
      <c r="D96" s="31" t="s">
        <v>482</v>
      </c>
      <c r="E96" s="31" t="s">
        <v>46</v>
      </c>
      <c r="F96" s="32" t="s">
        <v>483</v>
      </c>
      <c r="G96" s="31">
        <v>1</v>
      </c>
      <c r="H96" s="31">
        <v>0</v>
      </c>
      <c r="I96" s="31">
        <v>3</v>
      </c>
      <c r="J96" s="31"/>
      <c r="K96" s="31">
        <v>0</v>
      </c>
      <c r="L96" s="31">
        <v>0</v>
      </c>
      <c r="M96" s="31">
        <v>1</v>
      </c>
      <c r="N96" s="29" t="s">
        <v>202</v>
      </c>
      <c r="O96" s="53" t="s">
        <v>1776</v>
      </c>
    </row>
    <row r="97" spans="1:15" ht="58" customHeight="1">
      <c r="A97" s="31">
        <v>96</v>
      </c>
      <c r="B97" s="31">
        <v>322</v>
      </c>
      <c r="C97" s="31" t="s">
        <v>484</v>
      </c>
      <c r="D97" s="31" t="s">
        <v>485</v>
      </c>
      <c r="E97" s="31" t="s">
        <v>236</v>
      </c>
      <c r="F97" s="32" t="s">
        <v>486</v>
      </c>
      <c r="G97" s="31">
        <v>1</v>
      </c>
      <c r="H97" s="31">
        <v>0</v>
      </c>
      <c r="I97" s="31">
        <v>3</v>
      </c>
      <c r="J97" s="31"/>
      <c r="K97" s="31">
        <v>1</v>
      </c>
      <c r="L97" s="31">
        <v>0</v>
      </c>
      <c r="M97" s="31">
        <v>1</v>
      </c>
      <c r="N97" s="29" t="s">
        <v>202</v>
      </c>
      <c r="O97" s="53" t="s">
        <v>1777</v>
      </c>
    </row>
    <row r="98" spans="1:15" ht="58" customHeight="1">
      <c r="A98" s="31">
        <v>97</v>
      </c>
      <c r="B98" s="31">
        <v>324</v>
      </c>
      <c r="C98" s="31" t="s">
        <v>72</v>
      </c>
      <c r="D98" s="31" t="s">
        <v>487</v>
      </c>
      <c r="E98" s="31" t="s">
        <v>41</v>
      </c>
      <c r="F98" s="32" t="s">
        <v>144</v>
      </c>
      <c r="G98" s="31">
        <v>4</v>
      </c>
      <c r="H98" s="31">
        <v>5</v>
      </c>
      <c r="I98" s="31">
        <v>4</v>
      </c>
      <c r="J98" s="31" t="s">
        <v>23</v>
      </c>
      <c r="K98" s="31">
        <v>0</v>
      </c>
      <c r="L98" s="31">
        <v>0</v>
      </c>
      <c r="M98" s="31">
        <v>4</v>
      </c>
      <c r="N98" s="29" t="s">
        <v>202</v>
      </c>
      <c r="O98" s="53" t="s">
        <v>1778</v>
      </c>
    </row>
    <row r="99" spans="1:15" ht="58" customHeight="1">
      <c r="A99" s="31">
        <v>98</v>
      </c>
      <c r="B99" s="31">
        <v>327</v>
      </c>
      <c r="C99" s="31" t="s">
        <v>488</v>
      </c>
      <c r="D99" s="31" t="s">
        <v>489</v>
      </c>
      <c r="E99" s="31" t="s">
        <v>96</v>
      </c>
      <c r="F99" s="32" t="s">
        <v>490</v>
      </c>
      <c r="G99" s="31">
        <v>2</v>
      </c>
      <c r="H99" s="31">
        <v>0</v>
      </c>
      <c r="I99" s="31">
        <v>3</v>
      </c>
      <c r="J99" s="31"/>
      <c r="K99" s="31">
        <v>2</v>
      </c>
      <c r="L99" s="31">
        <v>0</v>
      </c>
      <c r="M99" s="31">
        <v>2</v>
      </c>
      <c r="N99" s="29" t="s">
        <v>202</v>
      </c>
      <c r="O99" s="53" t="s">
        <v>1779</v>
      </c>
    </row>
    <row r="100" spans="1:15" ht="58" customHeight="1">
      <c r="A100" s="31">
        <v>99</v>
      </c>
      <c r="B100" s="31">
        <v>332</v>
      </c>
      <c r="C100" s="31" t="s">
        <v>491</v>
      </c>
      <c r="D100" s="31" t="s">
        <v>492</v>
      </c>
      <c r="E100" s="31" t="s">
        <v>67</v>
      </c>
      <c r="F100" s="32" t="s">
        <v>493</v>
      </c>
      <c r="G100" s="31">
        <v>2</v>
      </c>
      <c r="H100" s="31">
        <v>0</v>
      </c>
      <c r="I100" s="31">
        <v>4</v>
      </c>
      <c r="J100" s="31"/>
      <c r="K100" s="31">
        <v>2</v>
      </c>
      <c r="L100" s="31">
        <v>0</v>
      </c>
      <c r="M100" s="31">
        <v>2</v>
      </c>
      <c r="N100" s="29" t="s">
        <v>202</v>
      </c>
      <c r="O100" s="51" t="s">
        <v>1780</v>
      </c>
    </row>
    <row r="101" spans="1:15" ht="58" customHeight="1">
      <c r="A101" s="31">
        <v>100</v>
      </c>
      <c r="B101" s="31">
        <v>334</v>
      </c>
      <c r="C101" s="31" t="s">
        <v>494</v>
      </c>
      <c r="D101" s="31" t="s">
        <v>495</v>
      </c>
      <c r="E101" s="31" t="s">
        <v>46</v>
      </c>
      <c r="F101" s="32" t="s">
        <v>496</v>
      </c>
      <c r="G101" s="31">
        <v>2</v>
      </c>
      <c r="H101" s="31">
        <v>0</v>
      </c>
      <c r="I101" s="31">
        <v>5</v>
      </c>
      <c r="J101" s="31" t="s">
        <v>23</v>
      </c>
      <c r="K101" s="31">
        <v>0</v>
      </c>
      <c r="L101" s="31">
        <v>0</v>
      </c>
      <c r="M101" s="31">
        <v>2</v>
      </c>
      <c r="N101" s="29" t="s">
        <v>202</v>
      </c>
      <c r="O101" s="53" t="s">
        <v>1781</v>
      </c>
    </row>
    <row r="102" spans="1:15" ht="58" customHeight="1">
      <c r="A102" s="31">
        <v>101</v>
      </c>
      <c r="B102" s="31">
        <v>335</v>
      </c>
      <c r="C102" s="31" t="s">
        <v>497</v>
      </c>
      <c r="D102" s="31" t="s">
        <v>498</v>
      </c>
      <c r="E102" s="31" t="s">
        <v>269</v>
      </c>
      <c r="F102" s="32" t="s">
        <v>499</v>
      </c>
      <c r="G102" s="31">
        <v>1</v>
      </c>
      <c r="H102" s="31">
        <v>0</v>
      </c>
      <c r="I102" s="31">
        <v>4</v>
      </c>
      <c r="J102" s="31"/>
      <c r="K102" s="31">
        <v>1</v>
      </c>
      <c r="L102" s="31">
        <v>0</v>
      </c>
      <c r="M102" s="31">
        <v>1</v>
      </c>
      <c r="N102" s="29" t="s">
        <v>202</v>
      </c>
      <c r="O102" s="53" t="s">
        <v>1782</v>
      </c>
    </row>
    <row r="103" spans="1:15" ht="58" customHeight="1">
      <c r="A103" s="31">
        <v>102</v>
      </c>
      <c r="B103" s="31">
        <v>336</v>
      </c>
      <c r="C103" s="31" t="s">
        <v>500</v>
      </c>
      <c r="D103" s="31" t="s">
        <v>501</v>
      </c>
      <c r="E103" s="31" t="s">
        <v>63</v>
      </c>
      <c r="F103" s="32" t="s">
        <v>502</v>
      </c>
      <c r="G103" s="31">
        <v>1</v>
      </c>
      <c r="H103" s="31">
        <v>0</v>
      </c>
      <c r="I103" s="31">
        <v>2</v>
      </c>
      <c r="J103" s="31"/>
      <c r="K103" s="31">
        <v>1</v>
      </c>
      <c r="L103" s="31">
        <v>0</v>
      </c>
      <c r="M103" s="31">
        <v>1</v>
      </c>
      <c r="N103" s="29" t="s">
        <v>202</v>
      </c>
      <c r="O103" s="53" t="s">
        <v>1783</v>
      </c>
    </row>
    <row r="104" spans="1:15" ht="58" customHeight="1">
      <c r="A104" s="31">
        <v>103</v>
      </c>
      <c r="B104" s="31">
        <v>341</v>
      </c>
      <c r="C104" s="31" t="s">
        <v>503</v>
      </c>
      <c r="D104" s="31" t="s">
        <v>504</v>
      </c>
      <c r="E104" s="31" t="s">
        <v>208</v>
      </c>
      <c r="F104" s="32" t="s">
        <v>505</v>
      </c>
      <c r="G104" s="31">
        <v>1</v>
      </c>
      <c r="H104" s="31">
        <v>0</v>
      </c>
      <c r="I104" s="31">
        <v>3</v>
      </c>
      <c r="J104" s="31"/>
      <c r="K104" s="31">
        <v>0</v>
      </c>
      <c r="L104" s="31">
        <v>0</v>
      </c>
      <c r="M104" s="31">
        <v>1</v>
      </c>
      <c r="N104" s="29" t="s">
        <v>202</v>
      </c>
      <c r="O104" s="53" t="s">
        <v>1784</v>
      </c>
    </row>
    <row r="105" spans="1:15" ht="58" customHeight="1">
      <c r="A105" s="31">
        <v>104</v>
      </c>
      <c r="B105" s="31">
        <v>348</v>
      </c>
      <c r="C105" s="31" t="s">
        <v>506</v>
      </c>
      <c r="D105" s="31" t="s">
        <v>507</v>
      </c>
      <c r="E105" s="31" t="s">
        <v>222</v>
      </c>
      <c r="F105" s="32" t="s">
        <v>508</v>
      </c>
      <c r="G105" s="31">
        <v>2</v>
      </c>
      <c r="H105" s="31">
        <v>0</v>
      </c>
      <c r="I105" s="31">
        <v>4</v>
      </c>
      <c r="J105" s="31"/>
      <c r="K105" s="31">
        <v>1</v>
      </c>
      <c r="L105" s="31">
        <v>0</v>
      </c>
      <c r="M105" s="31">
        <v>1</v>
      </c>
      <c r="N105" s="29" t="s">
        <v>202</v>
      </c>
      <c r="O105" s="53" t="s">
        <v>1785</v>
      </c>
    </row>
    <row r="106" spans="1:15" ht="58" customHeight="1">
      <c r="A106" s="31">
        <v>105</v>
      </c>
      <c r="B106" s="31">
        <v>350</v>
      </c>
      <c r="C106" s="31" t="s">
        <v>509</v>
      </c>
      <c r="D106" s="31" t="s">
        <v>510</v>
      </c>
      <c r="E106" s="31" t="s">
        <v>46</v>
      </c>
      <c r="F106" s="32" t="s">
        <v>511</v>
      </c>
      <c r="G106" s="31">
        <v>5</v>
      </c>
      <c r="H106" s="31">
        <v>0</v>
      </c>
      <c r="I106" s="31">
        <v>3</v>
      </c>
      <c r="J106" s="31"/>
      <c r="K106" s="31">
        <v>5</v>
      </c>
      <c r="L106" s="31">
        <v>0</v>
      </c>
      <c r="M106" s="31">
        <v>5</v>
      </c>
      <c r="N106" s="29" t="s">
        <v>202</v>
      </c>
      <c r="O106" s="53" t="s">
        <v>1787</v>
      </c>
    </row>
    <row r="107" spans="1:15" ht="58" customHeight="1">
      <c r="A107" s="31">
        <v>106</v>
      </c>
      <c r="B107" s="31">
        <v>353</v>
      </c>
      <c r="C107" s="31" t="s">
        <v>512</v>
      </c>
      <c r="D107" s="31" t="s">
        <v>513</v>
      </c>
      <c r="E107" s="31" t="s">
        <v>54</v>
      </c>
      <c r="F107" s="32" t="s">
        <v>514</v>
      </c>
      <c r="G107" s="31">
        <v>1</v>
      </c>
      <c r="H107" s="31">
        <v>0</v>
      </c>
      <c r="I107" s="31">
        <v>3</v>
      </c>
      <c r="J107" s="31"/>
      <c r="K107" s="31">
        <v>1</v>
      </c>
      <c r="L107" s="31">
        <v>0</v>
      </c>
      <c r="M107" s="31">
        <v>1</v>
      </c>
      <c r="N107" s="29" t="s">
        <v>202</v>
      </c>
      <c r="O107" s="53" t="s">
        <v>1788</v>
      </c>
    </row>
    <row r="108" spans="1:15" ht="58" customHeight="1">
      <c r="A108" s="31">
        <v>107</v>
      </c>
      <c r="B108" s="31">
        <v>356</v>
      </c>
      <c r="C108" s="31" t="s">
        <v>515</v>
      </c>
      <c r="D108" s="31" t="s">
        <v>516</v>
      </c>
      <c r="E108" s="31" t="s">
        <v>273</v>
      </c>
      <c r="F108" s="32" t="s">
        <v>517</v>
      </c>
      <c r="G108" s="31">
        <v>4</v>
      </c>
      <c r="H108" s="31">
        <v>0</v>
      </c>
      <c r="I108" s="31">
        <v>5</v>
      </c>
      <c r="J108" s="31"/>
      <c r="K108" s="31">
        <v>4</v>
      </c>
      <c r="L108" s="31">
        <v>0</v>
      </c>
      <c r="M108" s="31">
        <v>4</v>
      </c>
      <c r="N108" s="29" t="s">
        <v>202</v>
      </c>
      <c r="O108" s="53" t="s">
        <v>1789</v>
      </c>
    </row>
    <row r="109" spans="1:15" ht="58" customHeight="1">
      <c r="A109" s="31">
        <v>108</v>
      </c>
      <c r="B109" s="31">
        <v>357</v>
      </c>
      <c r="C109" s="31" t="s">
        <v>518</v>
      </c>
      <c r="D109" s="31" t="s">
        <v>519</v>
      </c>
      <c r="E109" s="31" t="s">
        <v>208</v>
      </c>
      <c r="F109" s="32" t="s">
        <v>520</v>
      </c>
      <c r="G109" s="31">
        <v>1</v>
      </c>
      <c r="H109" s="31">
        <v>0</v>
      </c>
      <c r="I109" s="31">
        <v>2</v>
      </c>
      <c r="J109" s="31"/>
      <c r="K109" s="31">
        <v>0</v>
      </c>
      <c r="L109" s="31">
        <v>0</v>
      </c>
      <c r="M109" s="31">
        <v>1</v>
      </c>
      <c r="N109" s="29" t="s">
        <v>202</v>
      </c>
      <c r="O109" s="53" t="s">
        <v>1790</v>
      </c>
    </row>
    <row r="110" spans="1:15" ht="58" customHeight="1">
      <c r="A110" s="31">
        <v>109</v>
      </c>
      <c r="B110" s="31">
        <v>359</v>
      </c>
      <c r="C110" s="31" t="s">
        <v>521</v>
      </c>
      <c r="D110" s="31" t="s">
        <v>522</v>
      </c>
      <c r="E110" s="31" t="s">
        <v>67</v>
      </c>
      <c r="F110" s="32" t="s">
        <v>523</v>
      </c>
      <c r="G110" s="31">
        <v>1</v>
      </c>
      <c r="H110" s="31">
        <v>0</v>
      </c>
      <c r="I110" s="31">
        <v>3</v>
      </c>
      <c r="J110" s="31"/>
      <c r="K110" s="31">
        <v>1</v>
      </c>
      <c r="L110" s="31">
        <v>0</v>
      </c>
      <c r="M110" s="31">
        <v>1</v>
      </c>
      <c r="N110" s="29" t="s">
        <v>202</v>
      </c>
      <c r="O110" s="53" t="s">
        <v>1791</v>
      </c>
    </row>
    <row r="111" spans="1:15" ht="58" customHeight="1">
      <c r="A111" s="31">
        <v>110</v>
      </c>
      <c r="B111" s="31">
        <v>370</v>
      </c>
      <c r="C111" s="31" t="s">
        <v>524</v>
      </c>
      <c r="D111" s="31" t="s">
        <v>525</v>
      </c>
      <c r="E111" s="31" t="s">
        <v>318</v>
      </c>
      <c r="F111" s="32" t="s">
        <v>526</v>
      </c>
      <c r="G111" s="31">
        <v>1</v>
      </c>
      <c r="H111" s="31">
        <v>0</v>
      </c>
      <c r="I111" s="31">
        <v>3</v>
      </c>
      <c r="J111" s="31"/>
      <c r="K111" s="31">
        <v>0</v>
      </c>
      <c r="L111" s="31">
        <v>0</v>
      </c>
      <c r="M111" s="31">
        <v>1</v>
      </c>
      <c r="N111" s="29" t="s">
        <v>202</v>
      </c>
      <c r="O111" s="53" t="s">
        <v>1792</v>
      </c>
    </row>
    <row r="112" spans="1:15" ht="58" customHeight="1">
      <c r="A112" s="31">
        <v>111</v>
      </c>
      <c r="B112" s="31">
        <v>374</v>
      </c>
      <c r="C112" s="31" t="s">
        <v>75</v>
      </c>
      <c r="D112" s="31" t="s">
        <v>527</v>
      </c>
      <c r="E112" s="31" t="s">
        <v>76</v>
      </c>
      <c r="F112" s="32" t="s">
        <v>147</v>
      </c>
      <c r="G112" s="31">
        <v>5</v>
      </c>
      <c r="H112" s="31">
        <v>5</v>
      </c>
      <c r="I112" s="31">
        <v>4</v>
      </c>
      <c r="J112" s="31" t="s">
        <v>23</v>
      </c>
      <c r="K112" s="31">
        <v>0</v>
      </c>
      <c r="L112" s="31">
        <v>0</v>
      </c>
      <c r="M112" s="31">
        <v>5</v>
      </c>
      <c r="N112" s="29" t="s">
        <v>202</v>
      </c>
      <c r="O112" s="53" t="s">
        <v>1793</v>
      </c>
    </row>
    <row r="113" spans="1:15" ht="58" customHeight="1">
      <c r="A113" s="31">
        <v>112</v>
      </c>
      <c r="B113" s="31">
        <v>383</v>
      </c>
      <c r="C113" s="31" t="s">
        <v>528</v>
      </c>
      <c r="D113" s="31" t="s">
        <v>529</v>
      </c>
      <c r="E113" s="31" t="s">
        <v>67</v>
      </c>
      <c r="F113" s="32" t="s">
        <v>530</v>
      </c>
      <c r="G113" s="31">
        <v>3</v>
      </c>
      <c r="H113" s="31">
        <v>0</v>
      </c>
      <c r="I113" s="31">
        <v>5</v>
      </c>
      <c r="J113" s="31"/>
      <c r="K113" s="31">
        <v>1</v>
      </c>
      <c r="L113" s="31">
        <v>0</v>
      </c>
      <c r="M113" s="31">
        <v>3</v>
      </c>
      <c r="N113" s="29" t="s">
        <v>202</v>
      </c>
      <c r="O113" s="53" t="s">
        <v>1795</v>
      </c>
    </row>
    <row r="114" spans="1:15" ht="58" customHeight="1">
      <c r="A114" s="31">
        <v>113</v>
      </c>
      <c r="B114" s="31">
        <v>385</v>
      </c>
      <c r="C114" s="31" t="s">
        <v>531</v>
      </c>
      <c r="D114" s="31" t="s">
        <v>532</v>
      </c>
      <c r="E114" s="31" t="s">
        <v>218</v>
      </c>
      <c r="F114" s="32" t="s">
        <v>533</v>
      </c>
      <c r="G114" s="31">
        <v>2</v>
      </c>
      <c r="H114" s="31">
        <v>0</v>
      </c>
      <c r="I114" s="31">
        <v>3</v>
      </c>
      <c r="J114" s="31"/>
      <c r="K114" s="31">
        <v>2</v>
      </c>
      <c r="L114" s="31">
        <v>0</v>
      </c>
      <c r="M114" s="31">
        <v>2</v>
      </c>
      <c r="N114" s="29" t="s">
        <v>202</v>
      </c>
      <c r="O114" s="53" t="s">
        <v>1796</v>
      </c>
    </row>
    <row r="115" spans="1:15" ht="58" customHeight="1">
      <c r="A115" s="31">
        <v>114</v>
      </c>
      <c r="B115" s="31">
        <v>397</v>
      </c>
      <c r="C115" s="31" t="s">
        <v>534</v>
      </c>
      <c r="D115" s="31" t="s">
        <v>535</v>
      </c>
      <c r="E115" s="31" t="s">
        <v>57</v>
      </c>
      <c r="F115" s="32" t="s">
        <v>536</v>
      </c>
      <c r="G115" s="31">
        <v>1</v>
      </c>
      <c r="H115" s="31">
        <v>0</v>
      </c>
      <c r="I115" s="31">
        <v>2</v>
      </c>
      <c r="J115" s="31"/>
      <c r="K115" s="31">
        <v>1</v>
      </c>
      <c r="L115" s="31">
        <v>0</v>
      </c>
      <c r="M115" s="31">
        <v>1</v>
      </c>
      <c r="N115" s="29" t="s">
        <v>202</v>
      </c>
      <c r="O115" s="53" t="s">
        <v>1797</v>
      </c>
    </row>
    <row r="116" spans="1:15" ht="58" customHeight="1">
      <c r="A116" s="31">
        <v>115</v>
      </c>
      <c r="B116" s="31">
        <v>403</v>
      </c>
      <c r="C116" s="31" t="s">
        <v>537</v>
      </c>
      <c r="D116" s="31" t="s">
        <v>538</v>
      </c>
      <c r="E116" s="31" t="s">
        <v>222</v>
      </c>
      <c r="F116" s="32" t="s">
        <v>539</v>
      </c>
      <c r="G116" s="31">
        <v>1</v>
      </c>
      <c r="H116" s="31">
        <v>0</v>
      </c>
      <c r="I116" s="31">
        <v>4</v>
      </c>
      <c r="J116" s="31"/>
      <c r="K116" s="31">
        <v>1</v>
      </c>
      <c r="L116" s="31">
        <v>0</v>
      </c>
      <c r="M116" s="31">
        <v>1</v>
      </c>
      <c r="N116" s="29" t="s">
        <v>202</v>
      </c>
      <c r="O116" s="53" t="s">
        <v>1798</v>
      </c>
    </row>
    <row r="117" spans="1:15" ht="58" customHeight="1">
      <c r="A117" s="31">
        <v>116</v>
      </c>
      <c r="B117" s="31">
        <v>407</v>
      </c>
      <c r="C117" s="31" t="s">
        <v>540</v>
      </c>
      <c r="D117" s="31" t="s">
        <v>541</v>
      </c>
      <c r="E117" s="31" t="s">
        <v>388</v>
      </c>
      <c r="F117" s="32" t="s">
        <v>542</v>
      </c>
      <c r="G117" s="31">
        <v>1</v>
      </c>
      <c r="H117" s="31">
        <v>0</v>
      </c>
      <c r="I117" s="31">
        <v>3</v>
      </c>
      <c r="J117" s="31"/>
      <c r="K117" s="31">
        <v>1</v>
      </c>
      <c r="L117" s="31">
        <v>0</v>
      </c>
      <c r="M117" s="31">
        <v>1</v>
      </c>
      <c r="N117" s="29" t="s">
        <v>202</v>
      </c>
      <c r="O117" s="53" t="s">
        <v>1799</v>
      </c>
    </row>
    <row r="118" spans="1:15" ht="58" customHeight="1">
      <c r="A118" s="31">
        <v>117</v>
      </c>
      <c r="B118" s="31">
        <v>409</v>
      </c>
      <c r="C118" s="31" t="s">
        <v>543</v>
      </c>
      <c r="D118" s="31" t="s">
        <v>544</v>
      </c>
      <c r="E118" s="31" t="s">
        <v>67</v>
      </c>
      <c r="F118" s="32" t="s">
        <v>545</v>
      </c>
      <c r="G118" s="31">
        <v>2</v>
      </c>
      <c r="H118" s="31">
        <v>0</v>
      </c>
      <c r="I118" s="31">
        <v>3</v>
      </c>
      <c r="J118" s="31"/>
      <c r="K118" s="31">
        <v>2</v>
      </c>
      <c r="L118" s="31">
        <v>0</v>
      </c>
      <c r="M118" s="31">
        <v>2</v>
      </c>
      <c r="N118" s="29" t="s">
        <v>202</v>
      </c>
      <c r="O118" s="53" t="s">
        <v>1800</v>
      </c>
    </row>
    <row r="119" spans="1:15" ht="58" customHeight="1">
      <c r="A119" s="31">
        <v>118</v>
      </c>
      <c r="B119" s="31">
        <v>413</v>
      </c>
      <c r="C119" s="31" t="s">
        <v>79</v>
      </c>
      <c r="D119" s="31" t="s">
        <v>546</v>
      </c>
      <c r="E119" s="31" t="s">
        <v>57</v>
      </c>
      <c r="F119" s="32" t="s">
        <v>547</v>
      </c>
      <c r="G119" s="31">
        <v>1</v>
      </c>
      <c r="H119" s="31">
        <v>5</v>
      </c>
      <c r="I119" s="31">
        <v>5</v>
      </c>
      <c r="J119" s="31" t="s">
        <v>24</v>
      </c>
      <c r="K119" s="31">
        <v>1</v>
      </c>
      <c r="L119" s="31">
        <v>0</v>
      </c>
      <c r="M119" s="31">
        <v>1</v>
      </c>
      <c r="N119" s="29" t="s">
        <v>202</v>
      </c>
      <c r="O119" s="53" t="s">
        <v>1801</v>
      </c>
    </row>
    <row r="120" spans="1:15" ht="58" customHeight="1">
      <c r="A120" s="31">
        <v>119</v>
      </c>
      <c r="B120" s="31">
        <v>414</v>
      </c>
      <c r="C120" s="31" t="s">
        <v>548</v>
      </c>
      <c r="D120" s="31" t="s">
        <v>549</v>
      </c>
      <c r="E120" s="31" t="s">
        <v>46</v>
      </c>
      <c r="F120" s="32" t="s">
        <v>550</v>
      </c>
      <c r="G120" s="31">
        <v>1</v>
      </c>
      <c r="H120" s="31">
        <v>0</v>
      </c>
      <c r="I120" s="31">
        <v>4</v>
      </c>
      <c r="J120" s="31"/>
      <c r="K120" s="31">
        <v>1</v>
      </c>
      <c r="L120" s="31">
        <v>0</v>
      </c>
      <c r="M120" s="31">
        <v>1</v>
      </c>
      <c r="N120" s="29" t="s">
        <v>202</v>
      </c>
      <c r="O120" s="53" t="s">
        <v>1802</v>
      </c>
    </row>
    <row r="121" spans="1:15" ht="58" customHeight="1">
      <c r="A121" s="31">
        <v>120</v>
      </c>
      <c r="B121" s="31">
        <v>420</v>
      </c>
      <c r="C121" s="31" t="s">
        <v>81</v>
      </c>
      <c r="D121" s="31" t="s">
        <v>551</v>
      </c>
      <c r="E121" s="31" t="s">
        <v>67</v>
      </c>
      <c r="F121" s="32" t="s">
        <v>552</v>
      </c>
      <c r="G121" s="31">
        <v>2</v>
      </c>
      <c r="H121" s="31">
        <v>5</v>
      </c>
      <c r="I121" s="31">
        <v>3</v>
      </c>
      <c r="J121" s="31" t="s">
        <v>23</v>
      </c>
      <c r="K121" s="31">
        <v>0</v>
      </c>
      <c r="L121" s="31">
        <v>0</v>
      </c>
      <c r="M121" s="31">
        <v>2</v>
      </c>
      <c r="N121" s="29" t="s">
        <v>202</v>
      </c>
      <c r="O121" s="53" t="s">
        <v>1803</v>
      </c>
    </row>
    <row r="122" spans="1:15" ht="58" customHeight="1">
      <c r="A122" s="31">
        <v>121</v>
      </c>
      <c r="B122" s="31">
        <v>424</v>
      </c>
      <c r="C122" s="31" t="s">
        <v>553</v>
      </c>
      <c r="D122" s="31" t="s">
        <v>554</v>
      </c>
      <c r="E122" s="31" t="s">
        <v>208</v>
      </c>
      <c r="F122" s="32" t="s">
        <v>555</v>
      </c>
      <c r="G122" s="31">
        <v>1</v>
      </c>
      <c r="H122" s="31">
        <v>0</v>
      </c>
      <c r="I122" s="31">
        <v>2</v>
      </c>
      <c r="J122" s="31"/>
      <c r="K122" s="31">
        <v>1</v>
      </c>
      <c r="L122" s="31">
        <v>0</v>
      </c>
      <c r="M122" s="31">
        <v>0</v>
      </c>
      <c r="N122" s="29" t="s">
        <v>202</v>
      </c>
      <c r="O122" s="53" t="s">
        <v>1804</v>
      </c>
    </row>
    <row r="123" spans="1:15" ht="58" customHeight="1">
      <c r="A123" s="31">
        <v>122</v>
      </c>
      <c r="B123" s="31">
        <v>427</v>
      </c>
      <c r="C123" s="31" t="s">
        <v>556</v>
      </c>
      <c r="D123" s="31" t="s">
        <v>557</v>
      </c>
      <c r="E123" s="31" t="s">
        <v>328</v>
      </c>
      <c r="F123" s="32" t="s">
        <v>558</v>
      </c>
      <c r="G123" s="31">
        <v>4</v>
      </c>
      <c r="H123" s="31">
        <v>0</v>
      </c>
      <c r="I123" s="31">
        <v>4</v>
      </c>
      <c r="J123" s="31"/>
      <c r="K123" s="31">
        <v>4</v>
      </c>
      <c r="L123" s="31">
        <v>0</v>
      </c>
      <c r="M123" s="31">
        <v>4</v>
      </c>
      <c r="N123" s="29" t="s">
        <v>202</v>
      </c>
      <c r="O123" s="53" t="s">
        <v>1805</v>
      </c>
    </row>
    <row r="124" spans="1:15" ht="58" customHeight="1">
      <c r="A124" s="31">
        <v>123</v>
      </c>
      <c r="B124" s="31">
        <v>429</v>
      </c>
      <c r="C124" s="31" t="s">
        <v>559</v>
      </c>
      <c r="D124" s="31" t="s">
        <v>1806</v>
      </c>
      <c r="E124" s="31" t="s">
        <v>318</v>
      </c>
      <c r="F124" s="32" t="s">
        <v>560</v>
      </c>
      <c r="G124" s="31">
        <v>3</v>
      </c>
      <c r="H124" s="31">
        <v>0</v>
      </c>
      <c r="I124" s="31">
        <v>4</v>
      </c>
      <c r="J124" s="31"/>
      <c r="K124" s="31">
        <v>3</v>
      </c>
      <c r="L124" s="31">
        <v>0</v>
      </c>
      <c r="M124" s="31">
        <v>3</v>
      </c>
      <c r="N124" s="29" t="s">
        <v>202</v>
      </c>
      <c r="O124" s="53" t="s">
        <v>1807</v>
      </c>
    </row>
    <row r="125" spans="1:15" ht="58" customHeight="1">
      <c r="A125" s="31">
        <v>124</v>
      </c>
      <c r="B125" s="31">
        <v>430</v>
      </c>
      <c r="C125" s="31" t="s">
        <v>561</v>
      </c>
      <c r="D125" s="31" t="s">
        <v>562</v>
      </c>
      <c r="E125" s="31" t="s">
        <v>273</v>
      </c>
      <c r="F125" s="32" t="s">
        <v>563</v>
      </c>
      <c r="G125" s="31">
        <v>1</v>
      </c>
      <c r="H125" s="31">
        <v>0</v>
      </c>
      <c r="I125" s="31">
        <v>3</v>
      </c>
      <c r="J125" s="31"/>
      <c r="K125" s="31">
        <v>1</v>
      </c>
      <c r="L125" s="31">
        <v>0</v>
      </c>
      <c r="M125" s="31">
        <v>1</v>
      </c>
      <c r="N125" s="29" t="s">
        <v>202</v>
      </c>
      <c r="O125" s="53" t="s">
        <v>1808</v>
      </c>
    </row>
    <row r="126" spans="1:15" ht="58" customHeight="1">
      <c r="A126" s="31">
        <v>125</v>
      </c>
      <c r="B126" s="31">
        <v>431</v>
      </c>
      <c r="C126" s="31" t="s">
        <v>564</v>
      </c>
      <c r="D126" s="31" t="s">
        <v>565</v>
      </c>
      <c r="E126" s="31" t="s">
        <v>388</v>
      </c>
      <c r="F126" s="32" t="s">
        <v>566</v>
      </c>
      <c r="G126" s="31">
        <v>1</v>
      </c>
      <c r="H126" s="31">
        <v>0</v>
      </c>
      <c r="I126" s="31">
        <v>2</v>
      </c>
      <c r="J126" s="31"/>
      <c r="K126" s="31">
        <v>0</v>
      </c>
      <c r="L126" s="31">
        <v>0</v>
      </c>
      <c r="M126" s="31">
        <v>1</v>
      </c>
      <c r="N126" s="29" t="s">
        <v>1697</v>
      </c>
      <c r="O126" s="53"/>
    </row>
    <row r="127" spans="1:15" ht="58" customHeight="1">
      <c r="A127" s="31">
        <v>126</v>
      </c>
      <c r="B127" s="31">
        <v>435</v>
      </c>
      <c r="C127" s="31" t="s">
        <v>567</v>
      </c>
      <c r="D127" s="31" t="s">
        <v>568</v>
      </c>
      <c r="E127" s="31" t="s">
        <v>218</v>
      </c>
      <c r="F127" s="32" t="s">
        <v>569</v>
      </c>
      <c r="G127" s="31">
        <v>1</v>
      </c>
      <c r="H127" s="31">
        <v>0</v>
      </c>
      <c r="I127" s="31">
        <v>4</v>
      </c>
      <c r="J127" s="31"/>
      <c r="K127" s="31">
        <v>1</v>
      </c>
      <c r="L127" s="31">
        <v>0</v>
      </c>
      <c r="M127" s="31">
        <v>1</v>
      </c>
      <c r="N127" s="29" t="s">
        <v>202</v>
      </c>
      <c r="O127" s="53" t="s">
        <v>1809</v>
      </c>
    </row>
    <row r="128" spans="1:15" ht="58" customHeight="1">
      <c r="A128" s="31">
        <v>127</v>
      </c>
      <c r="B128" s="31">
        <v>437</v>
      </c>
      <c r="C128" s="31" t="s">
        <v>570</v>
      </c>
      <c r="D128" s="31" t="s">
        <v>571</v>
      </c>
      <c r="E128" s="31" t="s">
        <v>63</v>
      </c>
      <c r="F128" s="32" t="s">
        <v>572</v>
      </c>
      <c r="G128" s="31">
        <v>3</v>
      </c>
      <c r="H128" s="31">
        <v>0</v>
      </c>
      <c r="I128" s="31">
        <v>4</v>
      </c>
      <c r="J128" s="31"/>
      <c r="K128" s="31">
        <v>3</v>
      </c>
      <c r="L128" s="31">
        <v>0</v>
      </c>
      <c r="M128" s="31">
        <v>0</v>
      </c>
      <c r="N128" s="29" t="s">
        <v>202</v>
      </c>
      <c r="O128" s="53" t="s">
        <v>1810</v>
      </c>
    </row>
    <row r="129" spans="1:15" ht="58" customHeight="1">
      <c r="A129" s="31">
        <v>128</v>
      </c>
      <c r="B129" s="31">
        <v>438</v>
      </c>
      <c r="C129" s="31" t="s">
        <v>573</v>
      </c>
      <c r="D129" s="31"/>
      <c r="E129" s="31" t="s">
        <v>208</v>
      </c>
      <c r="F129" s="32" t="s">
        <v>574</v>
      </c>
      <c r="G129" s="31">
        <v>0</v>
      </c>
      <c r="H129" s="31">
        <v>0</v>
      </c>
      <c r="I129" s="31">
        <v>3</v>
      </c>
      <c r="J129" s="31"/>
      <c r="K129" s="31">
        <v>0</v>
      </c>
      <c r="L129" s="31">
        <v>0</v>
      </c>
      <c r="M129" s="31">
        <v>1</v>
      </c>
      <c r="N129" s="29" t="s">
        <v>1697</v>
      </c>
      <c r="O129" s="32" t="s">
        <v>1697</v>
      </c>
    </row>
    <row r="130" spans="1:15" ht="58" customHeight="1">
      <c r="A130" s="31">
        <v>129</v>
      </c>
      <c r="B130" s="31">
        <v>439</v>
      </c>
      <c r="C130" s="31" t="s">
        <v>84</v>
      </c>
      <c r="D130" s="31" t="s">
        <v>575</v>
      </c>
      <c r="E130" s="31" t="s">
        <v>76</v>
      </c>
      <c r="F130" s="32" t="s">
        <v>156</v>
      </c>
      <c r="G130" s="31">
        <v>5</v>
      </c>
      <c r="H130" s="31">
        <v>5</v>
      </c>
      <c r="I130" s="31">
        <v>2</v>
      </c>
      <c r="J130" s="31" t="s">
        <v>23</v>
      </c>
      <c r="K130" s="31">
        <v>0</v>
      </c>
      <c r="L130" s="31">
        <v>0</v>
      </c>
      <c r="M130" s="31">
        <v>5</v>
      </c>
      <c r="N130" s="29" t="s">
        <v>202</v>
      </c>
      <c r="O130" s="53" t="s">
        <v>1811</v>
      </c>
    </row>
    <row r="131" spans="1:15" ht="58" customHeight="1">
      <c r="A131" s="31">
        <v>130</v>
      </c>
      <c r="B131" s="31">
        <v>442</v>
      </c>
      <c r="C131" s="31" t="s">
        <v>576</v>
      </c>
      <c r="D131" s="31" t="s">
        <v>577</v>
      </c>
      <c r="E131" s="31" t="s">
        <v>269</v>
      </c>
      <c r="F131" s="32" t="s">
        <v>578</v>
      </c>
      <c r="G131" s="31">
        <v>1</v>
      </c>
      <c r="H131" s="31">
        <v>0</v>
      </c>
      <c r="I131" s="31">
        <v>4</v>
      </c>
      <c r="J131" s="31"/>
      <c r="K131" s="31">
        <v>0</v>
      </c>
      <c r="L131" s="31">
        <v>0</v>
      </c>
      <c r="M131" s="31">
        <v>1</v>
      </c>
      <c r="N131" s="29" t="s">
        <v>202</v>
      </c>
      <c r="O131" s="32" t="s">
        <v>1813</v>
      </c>
    </row>
    <row r="132" spans="1:15" ht="58" customHeight="1">
      <c r="A132" s="31">
        <v>131</v>
      </c>
      <c r="B132" s="31">
        <v>445</v>
      </c>
      <c r="C132" s="31" t="s">
        <v>579</v>
      </c>
      <c r="D132" s="31" t="s">
        <v>580</v>
      </c>
      <c r="E132" s="31" t="s">
        <v>54</v>
      </c>
      <c r="F132" s="32" t="s">
        <v>581</v>
      </c>
      <c r="G132" s="31">
        <v>2</v>
      </c>
      <c r="H132" s="31">
        <v>0</v>
      </c>
      <c r="I132" s="31">
        <v>3</v>
      </c>
      <c r="J132" s="31"/>
      <c r="K132" s="31">
        <v>2</v>
      </c>
      <c r="L132" s="31">
        <v>0</v>
      </c>
      <c r="M132" s="31">
        <v>2</v>
      </c>
      <c r="N132" s="29" t="s">
        <v>202</v>
      </c>
      <c r="O132" s="53" t="s">
        <v>1814</v>
      </c>
    </row>
    <row r="133" spans="1:15" ht="58" customHeight="1">
      <c r="A133" s="31">
        <v>132</v>
      </c>
      <c r="B133" s="31">
        <v>449</v>
      </c>
      <c r="C133" s="31" t="s">
        <v>582</v>
      </c>
      <c r="D133" s="31" t="s">
        <v>583</v>
      </c>
      <c r="E133" s="31" t="s">
        <v>67</v>
      </c>
      <c r="F133" s="32" t="s">
        <v>584</v>
      </c>
      <c r="G133" s="31">
        <v>3</v>
      </c>
      <c r="H133" s="31">
        <v>0</v>
      </c>
      <c r="I133" s="31">
        <v>4</v>
      </c>
      <c r="J133" s="31"/>
      <c r="K133" s="31">
        <v>3</v>
      </c>
      <c r="L133" s="31">
        <v>0</v>
      </c>
      <c r="M133" s="31">
        <v>3</v>
      </c>
      <c r="N133" s="29" t="s">
        <v>202</v>
      </c>
      <c r="O133" s="53" t="s">
        <v>1815</v>
      </c>
    </row>
    <row r="134" spans="1:15" ht="58" customHeight="1">
      <c r="A134" s="31">
        <v>133</v>
      </c>
      <c r="B134" s="31">
        <v>451</v>
      </c>
      <c r="C134" s="31" t="s">
        <v>585</v>
      </c>
      <c r="D134" s="31" t="s">
        <v>586</v>
      </c>
      <c r="E134" s="31" t="s">
        <v>88</v>
      </c>
      <c r="F134" s="32" t="s">
        <v>587</v>
      </c>
      <c r="G134" s="31">
        <v>1</v>
      </c>
      <c r="H134" s="31">
        <v>0</v>
      </c>
      <c r="I134" s="31">
        <v>3</v>
      </c>
      <c r="J134" s="31"/>
      <c r="K134" s="31">
        <v>0</v>
      </c>
      <c r="L134" s="31">
        <v>0</v>
      </c>
      <c r="M134" s="31">
        <v>1</v>
      </c>
      <c r="N134" s="29" t="s">
        <v>202</v>
      </c>
      <c r="O134" s="53" t="s">
        <v>1816</v>
      </c>
    </row>
    <row r="135" spans="1:15" ht="58" customHeight="1">
      <c r="A135" s="31">
        <v>134</v>
      </c>
      <c r="B135" s="31">
        <v>452</v>
      </c>
      <c r="C135" s="31" t="s">
        <v>588</v>
      </c>
      <c r="D135" s="31" t="s">
        <v>589</v>
      </c>
      <c r="E135" s="31" t="s">
        <v>41</v>
      </c>
      <c r="F135" s="32" t="s">
        <v>590</v>
      </c>
      <c r="G135" s="31">
        <v>0</v>
      </c>
      <c r="H135" s="31">
        <v>0</v>
      </c>
      <c r="I135" s="31">
        <v>4</v>
      </c>
      <c r="J135" s="31"/>
      <c r="K135" s="31">
        <v>0</v>
      </c>
      <c r="L135" s="31">
        <v>0</v>
      </c>
      <c r="M135" s="31">
        <v>0</v>
      </c>
      <c r="N135" s="29" t="s">
        <v>1697</v>
      </c>
      <c r="O135" s="53" t="s">
        <v>1697</v>
      </c>
    </row>
    <row r="136" spans="1:15" ht="58" customHeight="1">
      <c r="A136" s="31">
        <v>135</v>
      </c>
      <c r="B136" s="31">
        <v>454</v>
      </c>
      <c r="C136" s="31" t="s">
        <v>591</v>
      </c>
      <c r="D136" s="31" t="s">
        <v>592</v>
      </c>
      <c r="E136" s="31" t="s">
        <v>41</v>
      </c>
      <c r="F136" s="32" t="s">
        <v>593</v>
      </c>
      <c r="G136" s="31">
        <v>2</v>
      </c>
      <c r="H136" s="31">
        <v>0</v>
      </c>
      <c r="I136" s="31">
        <v>3</v>
      </c>
      <c r="J136" s="31"/>
      <c r="K136" s="31">
        <v>2</v>
      </c>
      <c r="L136" s="31">
        <v>0</v>
      </c>
      <c r="M136" s="31">
        <v>2</v>
      </c>
      <c r="N136" s="29" t="s">
        <v>202</v>
      </c>
      <c r="O136" s="53" t="s">
        <v>1817</v>
      </c>
    </row>
    <row r="137" spans="1:15" ht="58" customHeight="1">
      <c r="A137" s="31">
        <v>136</v>
      </c>
      <c r="B137" s="31">
        <v>458</v>
      </c>
      <c r="C137" s="31" t="s">
        <v>87</v>
      </c>
      <c r="D137" s="31" t="s">
        <v>594</v>
      </c>
      <c r="E137" s="31" t="s">
        <v>88</v>
      </c>
      <c r="F137" s="32" t="s">
        <v>159</v>
      </c>
      <c r="G137" s="31">
        <v>5</v>
      </c>
      <c r="H137" s="31">
        <v>5</v>
      </c>
      <c r="I137" s="31">
        <v>3</v>
      </c>
      <c r="J137" s="31" t="s">
        <v>23</v>
      </c>
      <c r="K137" s="31">
        <v>0</v>
      </c>
      <c r="L137" s="31">
        <v>0</v>
      </c>
      <c r="M137" s="31">
        <v>5</v>
      </c>
      <c r="N137" s="29" t="s">
        <v>202</v>
      </c>
      <c r="O137" s="53" t="s">
        <v>1818</v>
      </c>
    </row>
    <row r="138" spans="1:15" ht="58" customHeight="1">
      <c r="A138" s="31">
        <v>137</v>
      </c>
      <c r="B138" s="31">
        <v>460</v>
      </c>
      <c r="C138" s="31" t="s">
        <v>595</v>
      </c>
      <c r="D138" s="31" t="s">
        <v>596</v>
      </c>
      <c r="E138" s="31" t="s">
        <v>222</v>
      </c>
      <c r="F138" s="32" t="s">
        <v>597</v>
      </c>
      <c r="G138" s="31">
        <v>1</v>
      </c>
      <c r="H138" s="31">
        <v>0</v>
      </c>
      <c r="I138" s="31">
        <v>5</v>
      </c>
      <c r="J138" s="31"/>
      <c r="K138" s="31">
        <v>1</v>
      </c>
      <c r="L138" s="31">
        <v>0</v>
      </c>
      <c r="M138" s="31">
        <v>1</v>
      </c>
      <c r="N138" s="29" t="s">
        <v>202</v>
      </c>
      <c r="O138" s="53" t="s">
        <v>1819</v>
      </c>
    </row>
    <row r="139" spans="1:15" ht="58" customHeight="1">
      <c r="A139" s="31">
        <v>138</v>
      </c>
      <c r="B139" s="31">
        <v>466</v>
      </c>
      <c r="C139" s="31" t="s">
        <v>598</v>
      </c>
      <c r="D139" s="31" t="s">
        <v>599</v>
      </c>
      <c r="E139" s="31" t="s">
        <v>41</v>
      </c>
      <c r="F139" s="32" t="s">
        <v>600</v>
      </c>
      <c r="G139" s="31">
        <v>5</v>
      </c>
      <c r="H139" s="31">
        <v>0</v>
      </c>
      <c r="I139" s="31">
        <v>4</v>
      </c>
      <c r="J139" s="31" t="s">
        <v>1821</v>
      </c>
      <c r="K139" s="31">
        <v>1</v>
      </c>
      <c r="L139" s="31">
        <v>0</v>
      </c>
      <c r="M139" s="31">
        <v>5</v>
      </c>
      <c r="N139" s="29" t="s">
        <v>202</v>
      </c>
      <c r="O139" s="53" t="s">
        <v>1820</v>
      </c>
    </row>
    <row r="140" spans="1:15" ht="58" customHeight="1">
      <c r="A140" s="31">
        <v>139</v>
      </c>
      <c r="B140" s="31">
        <v>468</v>
      </c>
      <c r="C140" s="31" t="s">
        <v>601</v>
      </c>
      <c r="D140" s="31" t="s">
        <v>602</v>
      </c>
      <c r="E140" s="31" t="s">
        <v>67</v>
      </c>
      <c r="F140" s="32" t="s">
        <v>603</v>
      </c>
      <c r="G140" s="31">
        <v>1</v>
      </c>
      <c r="H140" s="31">
        <v>0</v>
      </c>
      <c r="I140" s="31">
        <v>3</v>
      </c>
      <c r="J140" s="31"/>
      <c r="K140" s="31">
        <v>1</v>
      </c>
      <c r="L140" s="31">
        <v>0</v>
      </c>
      <c r="M140" s="31">
        <v>1</v>
      </c>
      <c r="N140" s="29" t="s">
        <v>202</v>
      </c>
      <c r="O140" s="53" t="s">
        <v>1822</v>
      </c>
    </row>
    <row r="141" spans="1:15" ht="58" customHeight="1">
      <c r="A141" s="31">
        <v>140</v>
      </c>
      <c r="B141" s="31">
        <v>474</v>
      </c>
      <c r="C141" s="31" t="s">
        <v>604</v>
      </c>
      <c r="D141" s="31" t="s">
        <v>605</v>
      </c>
      <c r="E141" s="31" t="s">
        <v>218</v>
      </c>
      <c r="F141" s="32" t="s">
        <v>606</v>
      </c>
      <c r="G141" s="31">
        <v>1</v>
      </c>
      <c r="H141" s="31">
        <v>0</v>
      </c>
      <c r="I141" s="31">
        <v>2</v>
      </c>
      <c r="J141" s="31"/>
      <c r="K141" s="31">
        <v>0</v>
      </c>
      <c r="L141" s="31">
        <v>0</v>
      </c>
      <c r="M141" s="31">
        <v>1</v>
      </c>
      <c r="N141" s="29" t="s">
        <v>202</v>
      </c>
      <c r="O141" s="53" t="s">
        <v>1823</v>
      </c>
    </row>
    <row r="142" spans="1:15" ht="58" customHeight="1">
      <c r="A142" s="31">
        <v>141</v>
      </c>
      <c r="B142" s="31">
        <v>479</v>
      </c>
      <c r="C142" s="31" t="s">
        <v>607</v>
      </c>
      <c r="D142" s="31" t="s">
        <v>608</v>
      </c>
      <c r="E142" s="31" t="s">
        <v>388</v>
      </c>
      <c r="F142" s="32" t="s">
        <v>609</v>
      </c>
      <c r="G142" s="31">
        <v>1</v>
      </c>
      <c r="H142" s="31">
        <v>0</v>
      </c>
      <c r="I142" s="31">
        <v>4</v>
      </c>
      <c r="J142" s="31"/>
      <c r="K142" s="31">
        <v>0</v>
      </c>
      <c r="L142" s="31">
        <v>0</v>
      </c>
      <c r="M142" s="31">
        <v>1</v>
      </c>
      <c r="N142" s="29" t="s">
        <v>202</v>
      </c>
      <c r="O142" s="53" t="s">
        <v>1824</v>
      </c>
    </row>
    <row r="143" spans="1:15" ht="58" customHeight="1">
      <c r="A143" s="31">
        <v>142</v>
      </c>
      <c r="B143" s="31">
        <v>480</v>
      </c>
      <c r="C143" s="31" t="s">
        <v>610</v>
      </c>
      <c r="D143" s="31" t="s">
        <v>611</v>
      </c>
      <c r="E143" s="31" t="s">
        <v>273</v>
      </c>
      <c r="F143" s="32" t="s">
        <v>612</v>
      </c>
      <c r="G143" s="31">
        <v>1</v>
      </c>
      <c r="H143" s="31">
        <v>0</v>
      </c>
      <c r="I143" s="31">
        <v>3</v>
      </c>
      <c r="J143" s="31"/>
      <c r="K143" s="31">
        <v>1</v>
      </c>
      <c r="L143" s="31">
        <v>0</v>
      </c>
      <c r="M143" s="31">
        <v>1</v>
      </c>
      <c r="N143" s="29" t="s">
        <v>202</v>
      </c>
      <c r="O143" s="53" t="s">
        <v>1825</v>
      </c>
    </row>
    <row r="144" spans="1:15" ht="58" customHeight="1">
      <c r="A144" s="31">
        <v>143</v>
      </c>
      <c r="B144" s="31">
        <v>483</v>
      </c>
      <c r="C144" s="31" t="s">
        <v>613</v>
      </c>
      <c r="D144" s="31" t="s">
        <v>614</v>
      </c>
      <c r="E144" s="31" t="s">
        <v>360</v>
      </c>
      <c r="F144" s="32" t="s">
        <v>615</v>
      </c>
      <c r="G144" s="31">
        <v>3</v>
      </c>
      <c r="H144" s="31">
        <v>0</v>
      </c>
      <c r="I144" s="31">
        <v>4</v>
      </c>
      <c r="J144" s="31"/>
      <c r="K144" s="31">
        <v>3</v>
      </c>
      <c r="L144" s="31">
        <v>0</v>
      </c>
      <c r="M144" s="31">
        <v>3</v>
      </c>
      <c r="N144" s="29" t="s">
        <v>202</v>
      </c>
      <c r="O144" s="53" t="s">
        <v>1826</v>
      </c>
    </row>
    <row r="145" spans="1:15" ht="58" customHeight="1">
      <c r="A145" s="31">
        <v>144</v>
      </c>
      <c r="B145" s="31">
        <v>491</v>
      </c>
      <c r="C145" s="31" t="s">
        <v>616</v>
      </c>
      <c r="D145" s="31" t="s">
        <v>617</v>
      </c>
      <c r="E145" s="31" t="s">
        <v>54</v>
      </c>
      <c r="F145" s="32" t="s">
        <v>618</v>
      </c>
      <c r="G145" s="31">
        <v>1</v>
      </c>
      <c r="H145" s="31">
        <v>0</v>
      </c>
      <c r="I145" s="31">
        <v>2</v>
      </c>
      <c r="J145" s="31"/>
      <c r="K145" s="31">
        <v>0</v>
      </c>
      <c r="L145" s="31">
        <v>0</v>
      </c>
      <c r="M145" s="31">
        <v>1</v>
      </c>
      <c r="N145" s="29" t="s">
        <v>202</v>
      </c>
      <c r="O145" s="53" t="s">
        <v>1827</v>
      </c>
    </row>
    <row r="146" spans="1:15" ht="58" customHeight="1">
      <c r="A146" s="31">
        <v>145</v>
      </c>
      <c r="B146" s="31">
        <v>493</v>
      </c>
      <c r="C146" s="31" t="s">
        <v>619</v>
      </c>
      <c r="D146" s="31" t="s">
        <v>620</v>
      </c>
      <c r="E146" s="31" t="s">
        <v>88</v>
      </c>
      <c r="F146" s="32" t="s">
        <v>621</v>
      </c>
      <c r="G146" s="31">
        <v>2</v>
      </c>
      <c r="H146" s="31">
        <v>0</v>
      </c>
      <c r="I146" s="31">
        <v>3</v>
      </c>
      <c r="J146" s="31"/>
      <c r="K146" s="31">
        <v>1</v>
      </c>
      <c r="L146" s="31">
        <v>0</v>
      </c>
      <c r="M146" s="31">
        <v>2</v>
      </c>
      <c r="N146" s="29" t="s">
        <v>202</v>
      </c>
      <c r="O146" s="53" t="s">
        <v>1828</v>
      </c>
    </row>
    <row r="147" spans="1:15" ht="58" customHeight="1">
      <c r="A147" s="31">
        <v>146</v>
      </c>
      <c r="B147" s="31">
        <v>495</v>
      </c>
      <c r="C147" s="31" t="s">
        <v>95</v>
      </c>
      <c r="D147" s="31" t="s">
        <v>622</v>
      </c>
      <c r="E147" s="31" t="s">
        <v>96</v>
      </c>
      <c r="F147" s="32" t="s">
        <v>165</v>
      </c>
      <c r="G147" s="31">
        <v>5</v>
      </c>
      <c r="H147" s="31">
        <v>5</v>
      </c>
      <c r="I147" s="31">
        <v>5</v>
      </c>
      <c r="J147" s="31" t="s">
        <v>27</v>
      </c>
      <c r="K147" s="31">
        <v>0</v>
      </c>
      <c r="L147" s="31">
        <v>0</v>
      </c>
      <c r="M147" s="31">
        <v>5</v>
      </c>
      <c r="N147" s="29" t="s">
        <v>202</v>
      </c>
      <c r="O147" s="53" t="s">
        <v>1829</v>
      </c>
    </row>
    <row r="148" spans="1:15" ht="58" customHeight="1">
      <c r="A148" s="31">
        <v>147</v>
      </c>
      <c r="B148" s="31">
        <v>500</v>
      </c>
      <c r="C148" s="31" t="s">
        <v>623</v>
      </c>
      <c r="D148" s="31" t="s">
        <v>624</v>
      </c>
      <c r="E148" s="31" t="s">
        <v>88</v>
      </c>
      <c r="F148" s="32" t="s">
        <v>625</v>
      </c>
      <c r="G148" s="31">
        <v>1</v>
      </c>
      <c r="H148" s="31">
        <v>0</v>
      </c>
      <c r="I148" s="31">
        <v>4</v>
      </c>
      <c r="J148" s="31"/>
      <c r="K148" s="31">
        <v>1</v>
      </c>
      <c r="L148" s="31">
        <v>0</v>
      </c>
      <c r="M148" s="31">
        <v>1</v>
      </c>
      <c r="N148" s="29" t="s">
        <v>202</v>
      </c>
      <c r="O148" s="53" t="s">
        <v>1830</v>
      </c>
    </row>
    <row r="149" spans="1:15" ht="58" customHeight="1">
      <c r="A149" s="31">
        <v>148</v>
      </c>
      <c r="B149" s="31">
        <v>501</v>
      </c>
      <c r="C149" s="31" t="s">
        <v>626</v>
      </c>
      <c r="D149" s="31" t="s">
        <v>627</v>
      </c>
      <c r="E149" s="31" t="s">
        <v>222</v>
      </c>
      <c r="F149" s="32" t="s">
        <v>628</v>
      </c>
      <c r="G149" s="31">
        <v>3</v>
      </c>
      <c r="H149" s="31">
        <v>0</v>
      </c>
      <c r="I149" s="31">
        <v>5</v>
      </c>
      <c r="J149" s="31"/>
      <c r="K149" s="31">
        <v>2</v>
      </c>
      <c r="L149" s="31">
        <v>0</v>
      </c>
      <c r="M149" s="31">
        <v>3</v>
      </c>
      <c r="N149" s="29" t="s">
        <v>202</v>
      </c>
      <c r="O149" s="53" t="s">
        <v>1831</v>
      </c>
    </row>
    <row r="150" spans="1:15" ht="58" customHeight="1">
      <c r="A150" s="31">
        <v>149</v>
      </c>
      <c r="B150" s="31">
        <v>504</v>
      </c>
      <c r="C150" s="31" t="s">
        <v>98</v>
      </c>
      <c r="D150" s="31" t="s">
        <v>629</v>
      </c>
      <c r="E150" s="31" t="s">
        <v>46</v>
      </c>
      <c r="F150" s="32" t="s">
        <v>168</v>
      </c>
      <c r="G150" s="31">
        <v>3</v>
      </c>
      <c r="H150" s="31">
        <v>5</v>
      </c>
      <c r="I150" s="31">
        <v>3</v>
      </c>
      <c r="J150" s="31" t="s">
        <v>28</v>
      </c>
      <c r="K150" s="31">
        <v>1</v>
      </c>
      <c r="L150" s="31">
        <v>0</v>
      </c>
      <c r="M150" s="31">
        <v>3</v>
      </c>
      <c r="N150" s="29" t="s">
        <v>202</v>
      </c>
      <c r="O150" s="53" t="s">
        <v>1832</v>
      </c>
    </row>
    <row r="151" spans="1:15" ht="58" customHeight="1">
      <c r="A151" s="31">
        <v>150</v>
      </c>
      <c r="B151" s="31">
        <v>505</v>
      </c>
      <c r="C151" s="31" t="s">
        <v>630</v>
      </c>
      <c r="D151" s="31" t="s">
        <v>631</v>
      </c>
      <c r="E151" s="31" t="s">
        <v>218</v>
      </c>
      <c r="F151" s="32" t="s">
        <v>632</v>
      </c>
      <c r="G151" s="31">
        <v>1</v>
      </c>
      <c r="H151" s="31">
        <v>0</v>
      </c>
      <c r="I151" s="31">
        <v>3</v>
      </c>
      <c r="J151" s="31"/>
      <c r="K151" s="31">
        <v>0</v>
      </c>
      <c r="L151" s="31">
        <v>0</v>
      </c>
      <c r="M151" s="31">
        <v>1</v>
      </c>
      <c r="N151" s="29" t="s">
        <v>202</v>
      </c>
      <c r="O151" s="53" t="s">
        <v>1833</v>
      </c>
    </row>
    <row r="152" spans="1:15" ht="58" customHeight="1">
      <c r="A152" s="31">
        <v>151</v>
      </c>
      <c r="B152" s="31">
        <v>508</v>
      </c>
      <c r="C152" s="31" t="s">
        <v>633</v>
      </c>
      <c r="D152" s="31" t="s">
        <v>634</v>
      </c>
      <c r="E152" s="31" t="s">
        <v>88</v>
      </c>
      <c r="F152" s="32" t="s">
        <v>635</v>
      </c>
      <c r="G152" s="31">
        <v>2</v>
      </c>
      <c r="H152" s="31">
        <v>0</v>
      </c>
      <c r="I152" s="31">
        <v>4</v>
      </c>
      <c r="J152" s="31"/>
      <c r="K152" s="31">
        <v>2</v>
      </c>
      <c r="L152" s="31">
        <v>0</v>
      </c>
      <c r="M152" s="31">
        <v>2</v>
      </c>
      <c r="N152" s="29" t="s">
        <v>202</v>
      </c>
      <c r="O152" s="53" t="s">
        <v>1835</v>
      </c>
    </row>
    <row r="153" spans="1:15" ht="58" customHeight="1">
      <c r="A153" s="31">
        <v>152</v>
      </c>
      <c r="B153" s="31">
        <v>509</v>
      </c>
      <c r="C153" s="31" t="s">
        <v>636</v>
      </c>
      <c r="D153" s="31" t="s">
        <v>637</v>
      </c>
      <c r="E153" s="31" t="s">
        <v>41</v>
      </c>
      <c r="F153" s="32" t="s">
        <v>638</v>
      </c>
      <c r="G153" s="31">
        <v>2</v>
      </c>
      <c r="H153" s="31">
        <v>0</v>
      </c>
      <c r="I153" s="31">
        <v>4</v>
      </c>
      <c r="J153" s="31"/>
      <c r="K153" s="31">
        <v>1</v>
      </c>
      <c r="L153" s="31">
        <v>0</v>
      </c>
      <c r="M153" s="31">
        <v>2</v>
      </c>
      <c r="N153" s="29" t="s">
        <v>202</v>
      </c>
      <c r="O153" s="53" t="s">
        <v>1836</v>
      </c>
    </row>
    <row r="154" spans="1:15" ht="58" customHeight="1">
      <c r="A154" s="31">
        <v>153</v>
      </c>
      <c r="B154" s="31">
        <v>512</v>
      </c>
      <c r="C154" s="31" t="s">
        <v>101</v>
      </c>
      <c r="D154" s="31" t="s">
        <v>639</v>
      </c>
      <c r="E154" s="31" t="s">
        <v>67</v>
      </c>
      <c r="F154" s="32" t="s">
        <v>171</v>
      </c>
      <c r="G154" s="31">
        <v>5</v>
      </c>
      <c r="H154" s="31">
        <v>5</v>
      </c>
      <c r="I154" s="31">
        <v>1</v>
      </c>
      <c r="J154" s="31" t="s">
        <v>26</v>
      </c>
      <c r="K154" s="31">
        <v>0</v>
      </c>
      <c r="L154" s="31">
        <v>0</v>
      </c>
      <c r="M154" s="31">
        <v>5</v>
      </c>
      <c r="N154" s="29" t="s">
        <v>202</v>
      </c>
      <c r="O154" s="53" t="s">
        <v>1837</v>
      </c>
    </row>
    <row r="155" spans="1:15" ht="58" customHeight="1">
      <c r="A155" s="31">
        <v>154</v>
      </c>
      <c r="B155" s="31">
        <v>515</v>
      </c>
      <c r="C155" s="31" t="s">
        <v>640</v>
      </c>
      <c r="D155" s="31"/>
      <c r="E155" s="31" t="s">
        <v>222</v>
      </c>
      <c r="F155" s="32" t="s">
        <v>641</v>
      </c>
      <c r="G155" s="31">
        <v>0</v>
      </c>
      <c r="H155" s="31">
        <v>0</v>
      </c>
      <c r="I155" s="31">
        <v>5</v>
      </c>
      <c r="J155" s="31"/>
      <c r="K155" s="31">
        <v>0</v>
      </c>
      <c r="L155" s="31">
        <v>0</v>
      </c>
      <c r="M155" s="31">
        <v>0</v>
      </c>
      <c r="N155" s="29" t="s">
        <v>1697</v>
      </c>
      <c r="O155" s="53" t="s">
        <v>1697</v>
      </c>
    </row>
    <row r="156" spans="1:15" ht="58" customHeight="1">
      <c r="A156" s="31">
        <v>155</v>
      </c>
      <c r="B156" s="31">
        <v>517</v>
      </c>
      <c r="C156" s="31" t="s">
        <v>642</v>
      </c>
      <c r="D156" s="31" t="s">
        <v>643</v>
      </c>
      <c r="E156" s="31" t="s">
        <v>57</v>
      </c>
      <c r="F156" s="32" t="s">
        <v>644</v>
      </c>
      <c r="G156" s="31">
        <v>1</v>
      </c>
      <c r="H156" s="31">
        <v>0</v>
      </c>
      <c r="I156" s="31">
        <v>2</v>
      </c>
      <c r="J156" s="31"/>
      <c r="K156" s="31">
        <v>1</v>
      </c>
      <c r="L156" s="31">
        <v>0</v>
      </c>
      <c r="M156" s="31">
        <v>1</v>
      </c>
      <c r="N156" s="29" t="s">
        <v>202</v>
      </c>
      <c r="O156" s="53" t="s">
        <v>1838</v>
      </c>
    </row>
    <row r="157" spans="1:15" ht="58" customHeight="1">
      <c r="A157" s="31">
        <v>156</v>
      </c>
      <c r="B157" s="31">
        <v>518</v>
      </c>
      <c r="C157" s="31" t="s">
        <v>645</v>
      </c>
      <c r="D157" s="31" t="s">
        <v>646</v>
      </c>
      <c r="E157" s="31" t="s">
        <v>208</v>
      </c>
      <c r="F157" s="32" t="s">
        <v>647</v>
      </c>
      <c r="G157" s="31">
        <v>1</v>
      </c>
      <c r="H157" s="31">
        <v>0</v>
      </c>
      <c r="I157" s="31">
        <v>2</v>
      </c>
      <c r="J157" s="31"/>
      <c r="K157" s="31">
        <v>1</v>
      </c>
      <c r="L157" s="31">
        <v>0</v>
      </c>
      <c r="M157" s="31">
        <v>1</v>
      </c>
      <c r="N157" s="29" t="s">
        <v>202</v>
      </c>
      <c r="O157" s="53" t="s">
        <v>1839</v>
      </c>
    </row>
    <row r="158" spans="1:15" ht="58" customHeight="1">
      <c r="A158" s="31">
        <v>157</v>
      </c>
      <c r="B158" s="31">
        <v>521</v>
      </c>
      <c r="C158" s="31" t="s">
        <v>103</v>
      </c>
      <c r="D158" s="31" t="s">
        <v>648</v>
      </c>
      <c r="E158" s="31" t="s">
        <v>67</v>
      </c>
      <c r="F158" s="32" t="s">
        <v>649</v>
      </c>
      <c r="G158" s="31">
        <v>2</v>
      </c>
      <c r="H158" s="31">
        <v>5</v>
      </c>
      <c r="I158" s="31">
        <v>4</v>
      </c>
      <c r="J158" s="31" t="s">
        <v>23</v>
      </c>
      <c r="K158" s="31">
        <v>1</v>
      </c>
      <c r="L158" s="31">
        <v>0</v>
      </c>
      <c r="M158" s="31">
        <v>2</v>
      </c>
      <c r="N158" s="29" t="s">
        <v>202</v>
      </c>
      <c r="O158" s="53" t="s">
        <v>1840</v>
      </c>
    </row>
    <row r="159" spans="1:15" ht="58" customHeight="1">
      <c r="A159" s="31">
        <v>158</v>
      </c>
      <c r="B159" s="31">
        <v>522</v>
      </c>
      <c r="C159" s="31" t="s">
        <v>650</v>
      </c>
      <c r="D159" s="31" t="s">
        <v>651</v>
      </c>
      <c r="E159" s="31" t="s">
        <v>318</v>
      </c>
      <c r="F159" s="32" t="s">
        <v>652</v>
      </c>
      <c r="G159" s="31">
        <v>3</v>
      </c>
      <c r="H159" s="31">
        <v>0</v>
      </c>
      <c r="I159" s="31">
        <v>4</v>
      </c>
      <c r="J159" s="31"/>
      <c r="K159" s="31">
        <v>3</v>
      </c>
      <c r="L159" s="31">
        <v>0</v>
      </c>
      <c r="M159" s="31">
        <v>3</v>
      </c>
      <c r="N159" s="29" t="s">
        <v>202</v>
      </c>
      <c r="O159" s="53" t="s">
        <v>1841</v>
      </c>
    </row>
    <row r="160" spans="1:15" ht="58" customHeight="1">
      <c r="A160" s="31" t="s">
        <v>1842</v>
      </c>
      <c r="B160" s="31"/>
      <c r="C160" s="31" t="s">
        <v>1843</v>
      </c>
      <c r="D160" s="31" t="s">
        <v>1844</v>
      </c>
      <c r="E160" s="31" t="s">
        <v>41</v>
      </c>
      <c r="F160" s="32"/>
      <c r="G160" s="31">
        <v>5</v>
      </c>
      <c r="H160" s="31">
        <v>5</v>
      </c>
      <c r="I160" s="31"/>
      <c r="J160" s="31" t="s">
        <v>1846</v>
      </c>
      <c r="K160" s="31">
        <v>0</v>
      </c>
      <c r="L160" s="31">
        <v>0</v>
      </c>
      <c r="M160" s="31">
        <v>5</v>
      </c>
      <c r="N160" s="29" t="s">
        <v>202</v>
      </c>
      <c r="O160" s="53" t="s">
        <v>1845</v>
      </c>
    </row>
    <row r="161" spans="1:15" ht="58" customHeight="1">
      <c r="A161" s="31">
        <v>159</v>
      </c>
      <c r="B161" s="31">
        <v>530</v>
      </c>
      <c r="C161" s="31" t="s">
        <v>653</v>
      </c>
      <c r="D161" s="31" t="s">
        <v>654</v>
      </c>
      <c r="E161" s="31" t="s">
        <v>236</v>
      </c>
      <c r="F161" s="32" t="s">
        <v>655</v>
      </c>
      <c r="G161" s="31">
        <v>3</v>
      </c>
      <c r="H161" s="31">
        <v>0</v>
      </c>
      <c r="I161" s="31">
        <v>3</v>
      </c>
      <c r="J161" s="31"/>
      <c r="K161" s="31">
        <v>3</v>
      </c>
      <c r="L161" s="31">
        <v>0</v>
      </c>
      <c r="M161" s="31">
        <v>3</v>
      </c>
      <c r="N161" s="29" t="s">
        <v>202</v>
      </c>
      <c r="O161" s="53" t="s">
        <v>1847</v>
      </c>
    </row>
    <row r="162" spans="1:15" ht="58" customHeight="1">
      <c r="A162" s="31">
        <v>160</v>
      </c>
      <c r="B162" s="31">
        <v>532</v>
      </c>
      <c r="C162" s="31" t="s">
        <v>656</v>
      </c>
      <c r="D162" s="31" t="s">
        <v>657</v>
      </c>
      <c r="E162" s="31" t="s">
        <v>218</v>
      </c>
      <c r="F162" s="32" t="s">
        <v>658</v>
      </c>
      <c r="G162" s="31">
        <v>1</v>
      </c>
      <c r="H162" s="31">
        <v>0</v>
      </c>
      <c r="I162" s="31">
        <v>5</v>
      </c>
      <c r="J162" s="31"/>
      <c r="K162" s="31">
        <v>1</v>
      </c>
      <c r="L162" s="31">
        <v>0</v>
      </c>
      <c r="M162" s="31">
        <v>1</v>
      </c>
      <c r="N162" s="29" t="s">
        <v>202</v>
      </c>
      <c r="O162" s="53" t="s">
        <v>1848</v>
      </c>
    </row>
    <row r="163" spans="1:15" ht="58" customHeight="1">
      <c r="A163" s="31">
        <v>161</v>
      </c>
      <c r="B163" s="31">
        <v>537</v>
      </c>
      <c r="C163" s="31" t="s">
        <v>659</v>
      </c>
      <c r="D163" s="31" t="s">
        <v>660</v>
      </c>
      <c r="E163" s="31" t="s">
        <v>67</v>
      </c>
      <c r="F163" s="32" t="s">
        <v>661</v>
      </c>
      <c r="G163" s="31">
        <v>4</v>
      </c>
      <c r="H163" s="31">
        <v>0</v>
      </c>
      <c r="I163" s="31">
        <v>2</v>
      </c>
      <c r="J163" s="31"/>
      <c r="K163" s="31">
        <v>4</v>
      </c>
      <c r="L163" s="31">
        <v>0</v>
      </c>
      <c r="M163" s="31">
        <v>4</v>
      </c>
      <c r="N163" s="29" t="s">
        <v>202</v>
      </c>
      <c r="O163" s="53" t="s">
        <v>1849</v>
      </c>
    </row>
    <row r="164" spans="1:15" ht="58" customHeight="1">
      <c r="A164" s="31">
        <v>162</v>
      </c>
      <c r="B164" s="31">
        <v>539</v>
      </c>
      <c r="C164" s="31" t="s">
        <v>662</v>
      </c>
      <c r="D164" s="31" t="s">
        <v>663</v>
      </c>
      <c r="E164" s="31" t="s">
        <v>218</v>
      </c>
      <c r="F164" s="32" t="s">
        <v>664</v>
      </c>
      <c r="G164" s="31">
        <v>1</v>
      </c>
      <c r="H164" s="31">
        <v>0</v>
      </c>
      <c r="I164" s="31">
        <v>3</v>
      </c>
      <c r="J164" s="31"/>
      <c r="K164" s="31">
        <v>1</v>
      </c>
      <c r="L164" s="31">
        <v>0</v>
      </c>
      <c r="M164" s="31">
        <v>1</v>
      </c>
      <c r="N164" s="29" t="s">
        <v>202</v>
      </c>
      <c r="O164" s="53" t="s">
        <v>1850</v>
      </c>
    </row>
    <row r="165" spans="1:15" ht="58" customHeight="1">
      <c r="A165" s="31">
        <v>163</v>
      </c>
      <c r="B165" s="31">
        <v>540</v>
      </c>
      <c r="C165" s="31" t="s">
        <v>665</v>
      </c>
      <c r="D165" s="31" t="s">
        <v>666</v>
      </c>
      <c r="E165" s="31" t="s">
        <v>328</v>
      </c>
      <c r="F165" s="32" t="s">
        <v>667</v>
      </c>
      <c r="G165" s="31">
        <v>3</v>
      </c>
      <c r="H165" s="31">
        <v>0</v>
      </c>
      <c r="I165" s="31">
        <v>2</v>
      </c>
      <c r="J165" s="31"/>
      <c r="K165" s="31">
        <v>3</v>
      </c>
      <c r="L165" s="31">
        <v>0</v>
      </c>
      <c r="M165" s="31">
        <v>3</v>
      </c>
      <c r="N165" s="29" t="s">
        <v>202</v>
      </c>
      <c r="O165" s="53" t="s">
        <v>1851</v>
      </c>
    </row>
    <row r="166" spans="1:15" ht="58" customHeight="1">
      <c r="A166" s="31">
        <v>164</v>
      </c>
      <c r="B166" s="31">
        <v>546</v>
      </c>
      <c r="C166" s="31" t="s">
        <v>668</v>
      </c>
      <c r="D166" s="31" t="s">
        <v>669</v>
      </c>
      <c r="E166" s="31" t="s">
        <v>222</v>
      </c>
      <c r="F166" s="32" t="s">
        <v>670</v>
      </c>
      <c r="G166" s="31">
        <v>1</v>
      </c>
      <c r="H166" s="31">
        <v>0</v>
      </c>
      <c r="I166" s="31">
        <v>3</v>
      </c>
      <c r="J166" s="31"/>
      <c r="K166" s="31">
        <v>1</v>
      </c>
      <c r="L166" s="31">
        <v>0</v>
      </c>
      <c r="M166" s="31">
        <v>1</v>
      </c>
      <c r="N166" s="29" t="s">
        <v>202</v>
      </c>
      <c r="O166" s="53" t="s">
        <v>1852</v>
      </c>
    </row>
    <row r="167" spans="1:15" ht="58" customHeight="1">
      <c r="A167" s="31">
        <v>165</v>
      </c>
      <c r="B167" s="31">
        <v>548</v>
      </c>
      <c r="C167" s="31" t="s">
        <v>109</v>
      </c>
      <c r="D167" s="31" t="s">
        <v>671</v>
      </c>
      <c r="E167" s="31" t="s">
        <v>50</v>
      </c>
      <c r="F167" s="32" t="s">
        <v>180</v>
      </c>
      <c r="G167" s="31">
        <v>4</v>
      </c>
      <c r="H167" s="31">
        <v>5</v>
      </c>
      <c r="I167" s="31">
        <v>5</v>
      </c>
      <c r="J167" s="31" t="s">
        <v>23</v>
      </c>
      <c r="K167" s="31">
        <v>0</v>
      </c>
      <c r="L167" s="31">
        <v>0</v>
      </c>
      <c r="M167" s="31">
        <v>4</v>
      </c>
      <c r="N167" s="29" t="s">
        <v>202</v>
      </c>
      <c r="O167" s="53" t="s">
        <v>1853</v>
      </c>
    </row>
    <row r="168" spans="1:15" ht="58" customHeight="1">
      <c r="A168" s="31">
        <v>166</v>
      </c>
      <c r="B168" s="31">
        <v>551</v>
      </c>
      <c r="C168" s="31" t="s">
        <v>672</v>
      </c>
      <c r="D168" s="31" t="s">
        <v>673</v>
      </c>
      <c r="E168" s="31" t="s">
        <v>222</v>
      </c>
      <c r="F168" s="32" t="s">
        <v>674</v>
      </c>
      <c r="G168" s="31">
        <v>1</v>
      </c>
      <c r="H168" s="31">
        <v>0</v>
      </c>
      <c r="I168" s="31">
        <v>3</v>
      </c>
      <c r="J168" s="31"/>
      <c r="K168" s="31">
        <v>1</v>
      </c>
      <c r="L168" s="31">
        <v>0</v>
      </c>
      <c r="M168" s="31">
        <v>1</v>
      </c>
      <c r="N168" s="29" t="s">
        <v>202</v>
      </c>
      <c r="O168" s="53" t="s">
        <v>1854</v>
      </c>
    </row>
    <row r="169" spans="1:15" ht="58" customHeight="1">
      <c r="A169" s="31">
        <v>167</v>
      </c>
      <c r="B169" s="31">
        <v>552</v>
      </c>
      <c r="C169" s="31" t="s">
        <v>675</v>
      </c>
      <c r="D169" s="31" t="s">
        <v>676</v>
      </c>
      <c r="E169" s="31" t="s">
        <v>269</v>
      </c>
      <c r="F169" s="32" t="s">
        <v>677</v>
      </c>
      <c r="G169" s="31">
        <v>1</v>
      </c>
      <c r="H169" s="31">
        <v>0</v>
      </c>
      <c r="I169" s="31">
        <v>5</v>
      </c>
      <c r="J169" s="31"/>
      <c r="K169" s="31">
        <v>1</v>
      </c>
      <c r="L169" s="31">
        <v>0</v>
      </c>
      <c r="M169" s="31">
        <v>1</v>
      </c>
      <c r="N169" s="29" t="s">
        <v>202</v>
      </c>
      <c r="O169" s="53" t="s">
        <v>1855</v>
      </c>
    </row>
    <row r="170" spans="1:15" ht="58" customHeight="1">
      <c r="A170" s="31">
        <v>168</v>
      </c>
      <c r="B170" s="31">
        <v>553</v>
      </c>
      <c r="C170" s="31" t="s">
        <v>678</v>
      </c>
      <c r="D170" s="31" t="s">
        <v>679</v>
      </c>
      <c r="E170" s="31" t="s">
        <v>88</v>
      </c>
      <c r="F170" s="32" t="s">
        <v>680</v>
      </c>
      <c r="G170" s="31">
        <v>1</v>
      </c>
      <c r="H170" s="31">
        <v>0</v>
      </c>
      <c r="I170" s="31">
        <v>5</v>
      </c>
      <c r="J170" s="31"/>
      <c r="K170" s="31">
        <v>0</v>
      </c>
      <c r="L170" s="31">
        <v>0</v>
      </c>
      <c r="M170" s="31">
        <v>1</v>
      </c>
      <c r="N170" s="29" t="s">
        <v>202</v>
      </c>
      <c r="O170" s="53" t="s">
        <v>1856</v>
      </c>
    </row>
    <row r="171" spans="1:15" ht="58" customHeight="1">
      <c r="A171" s="31">
        <v>169</v>
      </c>
      <c r="B171" s="31">
        <v>554</v>
      </c>
      <c r="C171" s="31" t="s">
        <v>681</v>
      </c>
      <c r="D171" s="31" t="s">
        <v>682</v>
      </c>
      <c r="E171" s="31" t="s">
        <v>208</v>
      </c>
      <c r="F171" s="32" t="s">
        <v>683</v>
      </c>
      <c r="G171" s="31">
        <v>1</v>
      </c>
      <c r="H171" s="31">
        <v>0</v>
      </c>
      <c r="I171" s="31">
        <v>5</v>
      </c>
      <c r="J171" s="31"/>
      <c r="K171" s="31">
        <v>1</v>
      </c>
      <c r="L171" s="31">
        <v>0</v>
      </c>
      <c r="M171" s="31">
        <v>1</v>
      </c>
      <c r="N171" s="29" t="s">
        <v>202</v>
      </c>
      <c r="O171" s="53" t="s">
        <v>1857</v>
      </c>
    </row>
    <row r="172" spans="1:15" ht="58" customHeight="1">
      <c r="A172" s="33">
        <v>170</v>
      </c>
      <c r="B172" s="33">
        <v>555</v>
      </c>
      <c r="C172" s="33" t="s">
        <v>684</v>
      </c>
      <c r="D172" s="33" t="s">
        <v>685</v>
      </c>
      <c r="E172" s="33" t="s">
        <v>96</v>
      </c>
      <c r="F172" s="34" t="s">
        <v>686</v>
      </c>
      <c r="G172" s="33">
        <v>2</v>
      </c>
      <c r="H172" s="33">
        <v>0</v>
      </c>
      <c r="I172" s="33">
        <v>5</v>
      </c>
      <c r="J172" s="33"/>
      <c r="K172" s="31">
        <v>1</v>
      </c>
      <c r="L172" s="31">
        <v>0</v>
      </c>
      <c r="M172" s="31">
        <v>2</v>
      </c>
      <c r="N172" s="29" t="s">
        <v>202</v>
      </c>
      <c r="O172" s="53" t="s">
        <v>1858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AA35-D44D-4798-9BA0-E4200B8C7E3B}">
  <dimension ref="A1:T317"/>
  <sheetViews>
    <sheetView showGridLines="0" topLeftCell="L310" zoomScale="90" zoomScaleNormal="90" workbookViewId="0">
      <selection activeCell="L316" sqref="L316"/>
    </sheetView>
  </sheetViews>
  <sheetFormatPr defaultRowHeight="14.5"/>
  <cols>
    <col min="1" max="1" width="12" style="28" customWidth="1"/>
    <col min="2" max="2" width="11" style="28" customWidth="1"/>
    <col min="3" max="3" width="13" style="28" customWidth="1"/>
    <col min="4" max="4" width="11" style="28" customWidth="1"/>
    <col min="5" max="5" width="21" style="28" customWidth="1"/>
    <col min="6" max="6" width="48" style="28" customWidth="1"/>
    <col min="7" max="8" width="10" style="28" customWidth="1"/>
    <col min="9" max="10" width="72" style="28" customWidth="1"/>
    <col min="11" max="12" width="92" style="28" customWidth="1"/>
    <col min="13" max="13" width="13" style="28" customWidth="1"/>
    <col min="14" max="14" width="11" style="28" customWidth="1"/>
    <col min="15" max="15" width="28" style="28" customWidth="1"/>
    <col min="16" max="16" width="18" style="28" customWidth="1"/>
    <col min="17" max="17" width="17" style="28" customWidth="1"/>
    <col min="18" max="18" width="31" style="28" customWidth="1"/>
    <col min="19" max="19" width="28" style="28" customWidth="1"/>
    <col min="20" max="20" width="78" style="28" customWidth="1"/>
    <col min="21" max="16384" width="8.7265625" style="28"/>
  </cols>
  <sheetData>
    <row r="1" spans="1:20" ht="42" customHeight="1">
      <c r="A1" s="27" t="s">
        <v>186</v>
      </c>
      <c r="B1" s="27" t="s">
        <v>187</v>
      </c>
      <c r="C1" s="27" t="s">
        <v>188</v>
      </c>
      <c r="D1" s="27" t="s">
        <v>687</v>
      </c>
      <c r="E1" s="27" t="s">
        <v>37</v>
      </c>
      <c r="F1" s="27" t="s">
        <v>688</v>
      </c>
      <c r="G1" s="27" t="s">
        <v>689</v>
      </c>
      <c r="H1" s="27" t="s">
        <v>690</v>
      </c>
      <c r="I1" s="27" t="s">
        <v>113</v>
      </c>
      <c r="J1" s="27" t="s">
        <v>691</v>
      </c>
      <c r="K1" s="27" t="s">
        <v>692</v>
      </c>
      <c r="L1" s="27" t="s">
        <v>114</v>
      </c>
      <c r="M1" s="27" t="s">
        <v>115</v>
      </c>
      <c r="N1" s="27" t="s">
        <v>116</v>
      </c>
      <c r="O1" s="27" t="s">
        <v>693</v>
      </c>
      <c r="P1" s="27" t="s">
        <v>694</v>
      </c>
      <c r="Q1" s="27" t="s">
        <v>695</v>
      </c>
      <c r="R1" s="27" t="s">
        <v>696</v>
      </c>
      <c r="S1" s="27" t="s">
        <v>697</v>
      </c>
      <c r="T1" s="27" t="s">
        <v>39</v>
      </c>
    </row>
    <row r="2" spans="1:20" ht="105" customHeight="1">
      <c r="A2" s="31">
        <v>1</v>
      </c>
      <c r="B2" s="31">
        <v>6</v>
      </c>
      <c r="C2" s="31" t="s">
        <v>200</v>
      </c>
      <c r="D2" s="31">
        <v>28</v>
      </c>
      <c r="E2" s="31" t="s">
        <v>41</v>
      </c>
      <c r="F2" s="32" t="s">
        <v>703</v>
      </c>
      <c r="G2" s="31">
        <v>1</v>
      </c>
      <c r="H2" s="31">
        <v>0</v>
      </c>
      <c r="I2" s="32" t="s">
        <v>698</v>
      </c>
      <c r="J2" s="32" t="s">
        <v>704</v>
      </c>
      <c r="K2" s="32" t="s">
        <v>705</v>
      </c>
      <c r="L2" s="32" t="s">
        <v>699</v>
      </c>
      <c r="M2" s="31">
        <v>1</v>
      </c>
      <c r="N2" s="31">
        <v>1</v>
      </c>
      <c r="O2" s="31" t="s">
        <v>700</v>
      </c>
      <c r="P2" s="31" t="s">
        <v>702</v>
      </c>
      <c r="Q2" s="31" t="s">
        <v>701</v>
      </c>
      <c r="R2" s="31"/>
      <c r="S2" s="31" t="s">
        <v>706</v>
      </c>
      <c r="T2" s="32" t="s">
        <v>1648</v>
      </c>
    </row>
    <row r="3" spans="1:20" ht="105" customHeight="1">
      <c r="A3" s="31">
        <v>1</v>
      </c>
      <c r="B3" s="31">
        <v>6</v>
      </c>
      <c r="C3" s="31" t="s">
        <v>200</v>
      </c>
      <c r="D3" s="31">
        <v>29</v>
      </c>
      <c r="E3" s="31" t="s">
        <v>41</v>
      </c>
      <c r="F3" s="32" t="s">
        <v>707</v>
      </c>
      <c r="G3" s="31">
        <v>1</v>
      </c>
      <c r="H3" s="31">
        <v>0</v>
      </c>
      <c r="I3" s="32" t="s">
        <v>698</v>
      </c>
      <c r="J3" s="32" t="s">
        <v>708</v>
      </c>
      <c r="K3" s="32" t="s">
        <v>709</v>
      </c>
      <c r="L3" s="32" t="s">
        <v>699</v>
      </c>
      <c r="M3" s="31">
        <v>1</v>
      </c>
      <c r="N3" s="31">
        <v>1</v>
      </c>
      <c r="O3" s="31" t="s">
        <v>700</v>
      </c>
      <c r="P3" s="31" t="s">
        <v>702</v>
      </c>
      <c r="Q3" s="31" t="s">
        <v>701</v>
      </c>
      <c r="R3" s="31"/>
      <c r="S3" s="31" t="s">
        <v>706</v>
      </c>
      <c r="T3" s="32" t="s">
        <v>1648</v>
      </c>
    </row>
    <row r="4" spans="1:20" ht="105" customHeight="1">
      <c r="A4" s="31">
        <v>2</v>
      </c>
      <c r="B4" s="31">
        <v>9</v>
      </c>
      <c r="C4" s="31" t="s">
        <v>203</v>
      </c>
      <c r="D4" s="31">
        <v>41</v>
      </c>
      <c r="E4" s="31" t="s">
        <v>46</v>
      </c>
      <c r="F4" s="32" t="s">
        <v>205</v>
      </c>
      <c r="G4" s="31">
        <v>1</v>
      </c>
      <c r="H4" s="31">
        <v>0</v>
      </c>
      <c r="I4" s="32" t="s">
        <v>710</v>
      </c>
      <c r="J4" s="32" t="s">
        <v>711</v>
      </c>
      <c r="K4" s="32" t="s">
        <v>712</v>
      </c>
      <c r="L4" s="32" t="s">
        <v>713</v>
      </c>
      <c r="M4" s="31">
        <v>500</v>
      </c>
      <c r="N4" s="31">
        <v>294</v>
      </c>
      <c r="O4" s="31" t="s">
        <v>714</v>
      </c>
      <c r="P4" s="31" t="s">
        <v>702</v>
      </c>
      <c r="Q4" s="31" t="s">
        <v>701</v>
      </c>
      <c r="R4" s="31" t="s">
        <v>1649</v>
      </c>
      <c r="S4" s="28" t="s">
        <v>715</v>
      </c>
      <c r="T4" s="52" t="s">
        <v>716</v>
      </c>
    </row>
    <row r="5" spans="1:20" ht="105" customHeight="1">
      <c r="A5" s="31">
        <v>3</v>
      </c>
      <c r="B5" s="31">
        <v>14</v>
      </c>
      <c r="C5" s="31" t="s">
        <v>206</v>
      </c>
      <c r="D5" s="31">
        <v>69</v>
      </c>
      <c r="E5" s="31" t="s">
        <v>208</v>
      </c>
      <c r="F5" s="32" t="s">
        <v>209</v>
      </c>
      <c r="G5" s="31">
        <v>1</v>
      </c>
      <c r="H5" s="31">
        <v>0</v>
      </c>
      <c r="I5" s="32" t="s">
        <v>717</v>
      </c>
      <c r="J5" s="32" t="s">
        <v>718</v>
      </c>
      <c r="K5" s="32" t="s">
        <v>719</v>
      </c>
      <c r="L5" s="32" t="s">
        <v>720</v>
      </c>
      <c r="M5" s="31">
        <v>3</v>
      </c>
      <c r="N5" s="31">
        <v>3</v>
      </c>
      <c r="O5" s="31" t="s">
        <v>721</v>
      </c>
      <c r="P5" s="31" t="s">
        <v>702</v>
      </c>
      <c r="Q5" s="31" t="s">
        <v>701</v>
      </c>
      <c r="R5" s="31"/>
      <c r="S5" s="31" t="s">
        <v>706</v>
      </c>
      <c r="T5" s="51" t="s">
        <v>1647</v>
      </c>
    </row>
    <row r="6" spans="1:20" ht="105" customHeight="1">
      <c r="A6" s="31">
        <v>4</v>
      </c>
      <c r="B6" s="31">
        <v>20</v>
      </c>
      <c r="C6" s="31" t="s">
        <v>210</v>
      </c>
      <c r="D6" s="31">
        <v>99</v>
      </c>
      <c r="E6" s="31" t="s">
        <v>208</v>
      </c>
      <c r="F6" s="32" t="s">
        <v>212</v>
      </c>
      <c r="G6" s="31">
        <v>1</v>
      </c>
      <c r="H6" s="31">
        <v>0</v>
      </c>
      <c r="I6" s="32" t="s">
        <v>722</v>
      </c>
      <c r="J6" s="32" t="s">
        <v>723</v>
      </c>
      <c r="K6" s="32" t="s">
        <v>724</v>
      </c>
      <c r="L6" s="32" t="s">
        <v>725</v>
      </c>
      <c r="M6" s="31">
        <v>0</v>
      </c>
      <c r="N6" s="31">
        <v>1</v>
      </c>
      <c r="O6" s="31" t="s">
        <v>726</v>
      </c>
      <c r="P6" s="31" t="s">
        <v>702</v>
      </c>
      <c r="Q6" s="31" t="s">
        <v>701</v>
      </c>
      <c r="R6" s="31"/>
      <c r="S6" s="31" t="s">
        <v>706</v>
      </c>
      <c r="T6" s="53" t="s">
        <v>1650</v>
      </c>
    </row>
    <row r="7" spans="1:20" ht="105" customHeight="1">
      <c r="A7" s="31">
        <v>5</v>
      </c>
      <c r="B7" s="31">
        <v>24</v>
      </c>
      <c r="C7" s="31" t="s">
        <v>213</v>
      </c>
      <c r="D7" s="31">
        <v>119</v>
      </c>
      <c r="E7" s="31" t="s">
        <v>63</v>
      </c>
      <c r="F7" s="32" t="s">
        <v>215</v>
      </c>
      <c r="G7" s="31">
        <v>1</v>
      </c>
      <c r="H7" s="31">
        <v>0</v>
      </c>
      <c r="I7" s="32" t="s">
        <v>727</v>
      </c>
      <c r="J7" s="32" t="s">
        <v>728</v>
      </c>
      <c r="K7" s="32" t="s">
        <v>729</v>
      </c>
      <c r="L7" s="32" t="s">
        <v>730</v>
      </c>
      <c r="M7" s="31">
        <v>0</v>
      </c>
      <c r="N7" s="31">
        <v>1</v>
      </c>
      <c r="O7" s="31" t="s">
        <v>726</v>
      </c>
      <c r="P7" s="31" t="s">
        <v>702</v>
      </c>
      <c r="Q7" s="31" t="s">
        <v>701</v>
      </c>
      <c r="R7" s="31"/>
      <c r="S7" s="31" t="s">
        <v>706</v>
      </c>
      <c r="T7" s="53" t="s">
        <v>1651</v>
      </c>
    </row>
    <row r="8" spans="1:20" ht="105" customHeight="1">
      <c r="A8" s="31">
        <v>6</v>
      </c>
      <c r="B8" s="31">
        <v>40</v>
      </c>
      <c r="C8" s="31" t="s">
        <v>216</v>
      </c>
      <c r="D8" s="31">
        <v>196</v>
      </c>
      <c r="E8" s="31" t="s">
        <v>218</v>
      </c>
      <c r="F8" s="32" t="s">
        <v>219</v>
      </c>
      <c r="G8" s="31">
        <v>1</v>
      </c>
      <c r="H8" s="31">
        <v>0</v>
      </c>
      <c r="I8" s="32" t="s">
        <v>731</v>
      </c>
      <c r="J8" s="32" t="s">
        <v>732</v>
      </c>
      <c r="K8" s="32" t="s">
        <v>733</v>
      </c>
      <c r="L8" s="32" t="s">
        <v>734</v>
      </c>
      <c r="M8" s="31">
        <v>4</v>
      </c>
      <c r="N8" s="31">
        <v>11</v>
      </c>
      <c r="O8" s="31" t="s">
        <v>700</v>
      </c>
      <c r="P8" s="31" t="s">
        <v>701</v>
      </c>
      <c r="Q8" s="31" t="s">
        <v>701</v>
      </c>
      <c r="R8" s="50" t="s">
        <v>1654</v>
      </c>
      <c r="S8" s="50" t="s">
        <v>1653</v>
      </c>
      <c r="T8" s="53" t="s">
        <v>1652</v>
      </c>
    </row>
    <row r="9" spans="1:20" ht="105" customHeight="1">
      <c r="A9" s="31">
        <v>7</v>
      </c>
      <c r="B9" s="31">
        <v>42</v>
      </c>
      <c r="C9" s="31" t="s">
        <v>220</v>
      </c>
      <c r="D9" s="31">
        <v>205</v>
      </c>
      <c r="E9" s="31" t="s">
        <v>222</v>
      </c>
      <c r="F9" s="32" t="s">
        <v>223</v>
      </c>
      <c r="G9" s="31">
        <v>1</v>
      </c>
      <c r="H9" s="31">
        <v>0</v>
      </c>
      <c r="I9" s="32" t="s">
        <v>735</v>
      </c>
      <c r="J9" s="32" t="s">
        <v>736</v>
      </c>
      <c r="K9" s="32" t="s">
        <v>737</v>
      </c>
      <c r="L9" s="32" t="s">
        <v>738</v>
      </c>
      <c r="M9" s="31">
        <v>46</v>
      </c>
      <c r="N9" s="31">
        <v>1</v>
      </c>
      <c r="O9" s="31" t="s">
        <v>721</v>
      </c>
      <c r="P9" s="31" t="s">
        <v>702</v>
      </c>
      <c r="Q9" s="31" t="s">
        <v>701</v>
      </c>
      <c r="R9" s="31"/>
      <c r="S9" s="31" t="s">
        <v>706</v>
      </c>
      <c r="T9" s="53" t="s">
        <v>1656</v>
      </c>
    </row>
    <row r="10" spans="1:20" ht="105" customHeight="1">
      <c r="A10" s="31">
        <v>7</v>
      </c>
      <c r="B10" s="31">
        <v>42</v>
      </c>
      <c r="C10" s="31" t="s">
        <v>220</v>
      </c>
      <c r="D10" s="31">
        <v>207</v>
      </c>
      <c r="E10" s="31" t="s">
        <v>222</v>
      </c>
      <c r="F10" s="32" t="s">
        <v>739</v>
      </c>
      <c r="G10" s="31">
        <v>1</v>
      </c>
      <c r="H10" s="31">
        <v>0</v>
      </c>
      <c r="I10" s="32" t="s">
        <v>735</v>
      </c>
      <c r="J10" s="32" t="s">
        <v>736</v>
      </c>
      <c r="K10" s="32" t="s">
        <v>737</v>
      </c>
      <c r="L10" s="32" t="s">
        <v>738</v>
      </c>
      <c r="M10" s="31">
        <v>46</v>
      </c>
      <c r="N10" s="31">
        <v>1</v>
      </c>
      <c r="O10" s="31" t="s">
        <v>721</v>
      </c>
      <c r="P10" s="31" t="s">
        <v>702</v>
      </c>
      <c r="Q10" s="31" t="s">
        <v>701</v>
      </c>
      <c r="R10" s="31"/>
      <c r="S10" s="31" t="s">
        <v>706</v>
      </c>
      <c r="T10" s="53" t="s">
        <v>1656</v>
      </c>
    </row>
    <row r="11" spans="1:20" ht="105" customHeight="1">
      <c r="A11" s="31">
        <v>7</v>
      </c>
      <c r="B11" s="31">
        <v>42</v>
      </c>
      <c r="C11" s="31" t="s">
        <v>220</v>
      </c>
      <c r="D11" s="31">
        <v>208</v>
      </c>
      <c r="E11" s="31" t="s">
        <v>222</v>
      </c>
      <c r="F11" s="32" t="s">
        <v>740</v>
      </c>
      <c r="G11" s="31">
        <v>1</v>
      </c>
      <c r="H11" s="31">
        <v>0</v>
      </c>
      <c r="I11" s="32" t="s">
        <v>735</v>
      </c>
      <c r="J11" s="32" t="s">
        <v>741</v>
      </c>
      <c r="K11" s="32" t="s">
        <v>742</v>
      </c>
      <c r="L11" s="32" t="s">
        <v>738</v>
      </c>
      <c r="M11" s="31">
        <v>46</v>
      </c>
      <c r="N11" s="31">
        <v>1</v>
      </c>
      <c r="O11" s="31" t="s">
        <v>714</v>
      </c>
      <c r="P11" s="31" t="s">
        <v>702</v>
      </c>
      <c r="Q11" s="31" t="s">
        <v>701</v>
      </c>
      <c r="R11" s="31"/>
      <c r="S11" s="31" t="s">
        <v>706</v>
      </c>
      <c r="T11" s="53" t="s">
        <v>1656</v>
      </c>
    </row>
    <row r="12" spans="1:20" ht="105" customHeight="1">
      <c r="A12" s="31">
        <v>7</v>
      </c>
      <c r="B12" s="31">
        <v>42</v>
      </c>
      <c r="C12" s="31" t="s">
        <v>220</v>
      </c>
      <c r="D12" s="31">
        <v>209</v>
      </c>
      <c r="E12" s="31" t="s">
        <v>222</v>
      </c>
      <c r="F12" s="32" t="s">
        <v>743</v>
      </c>
      <c r="G12" s="31">
        <v>1</v>
      </c>
      <c r="H12" s="31">
        <v>0</v>
      </c>
      <c r="I12" s="32" t="s">
        <v>735</v>
      </c>
      <c r="J12" s="32" t="s">
        <v>744</v>
      </c>
      <c r="K12" s="32" t="s">
        <v>737</v>
      </c>
      <c r="L12" s="32" t="s">
        <v>738</v>
      </c>
      <c r="M12" s="31">
        <v>46</v>
      </c>
      <c r="N12" s="31">
        <v>1</v>
      </c>
      <c r="O12" s="31" t="s">
        <v>721</v>
      </c>
      <c r="P12" s="31" t="s">
        <v>702</v>
      </c>
      <c r="Q12" s="31" t="s">
        <v>701</v>
      </c>
      <c r="R12" s="31"/>
      <c r="S12" s="31" t="s">
        <v>706</v>
      </c>
      <c r="T12" s="53" t="s">
        <v>1656</v>
      </c>
    </row>
    <row r="13" spans="1:20" ht="105" customHeight="1">
      <c r="A13" s="31">
        <v>8</v>
      </c>
      <c r="B13" s="31">
        <v>46</v>
      </c>
      <c r="C13" s="31" t="s">
        <v>224</v>
      </c>
      <c r="D13" s="31">
        <v>229</v>
      </c>
      <c r="E13" s="31" t="s">
        <v>226</v>
      </c>
      <c r="F13" s="32" t="s">
        <v>747</v>
      </c>
      <c r="G13" s="31">
        <v>1</v>
      </c>
      <c r="H13" s="31">
        <v>0</v>
      </c>
      <c r="I13" s="32" t="s">
        <v>745</v>
      </c>
      <c r="J13" s="32" t="s">
        <v>748</v>
      </c>
      <c r="K13" s="32" t="s">
        <v>749</v>
      </c>
      <c r="L13" s="32" t="s">
        <v>746</v>
      </c>
      <c r="M13" s="31">
        <v>1</v>
      </c>
      <c r="N13" s="31">
        <v>1</v>
      </c>
      <c r="O13" s="31" t="s">
        <v>700</v>
      </c>
      <c r="P13" s="31" t="s">
        <v>702</v>
      </c>
      <c r="Q13" s="31" t="s">
        <v>701</v>
      </c>
      <c r="R13" s="31"/>
      <c r="S13" s="31" t="s">
        <v>706</v>
      </c>
      <c r="T13" s="53" t="s">
        <v>1657</v>
      </c>
    </row>
    <row r="14" spans="1:20" ht="105" customHeight="1">
      <c r="A14" s="31">
        <v>9</v>
      </c>
      <c r="B14" s="31">
        <v>47</v>
      </c>
      <c r="C14" s="31" t="s">
        <v>228</v>
      </c>
      <c r="D14" s="31">
        <v>230</v>
      </c>
      <c r="E14" s="31" t="s">
        <v>46</v>
      </c>
      <c r="F14" s="32" t="s">
        <v>230</v>
      </c>
      <c r="G14" s="31">
        <v>1</v>
      </c>
      <c r="H14" s="31">
        <v>0</v>
      </c>
      <c r="I14" s="32" t="s">
        <v>750</v>
      </c>
      <c r="J14" s="32" t="s">
        <v>751</v>
      </c>
      <c r="K14" s="32" t="s">
        <v>752</v>
      </c>
      <c r="L14" s="32" t="s">
        <v>753</v>
      </c>
      <c r="M14" s="31">
        <v>37</v>
      </c>
      <c r="N14" s="31">
        <v>13</v>
      </c>
      <c r="O14" s="31" t="s">
        <v>700</v>
      </c>
      <c r="P14" s="31" t="s">
        <v>702</v>
      </c>
      <c r="Q14" s="31" t="s">
        <v>701</v>
      </c>
      <c r="R14" s="31"/>
      <c r="S14" s="31" t="s">
        <v>706</v>
      </c>
      <c r="T14" s="53" t="s">
        <v>1658</v>
      </c>
    </row>
    <row r="15" spans="1:20" ht="105" customHeight="1">
      <c r="A15" s="31">
        <v>9</v>
      </c>
      <c r="B15" s="31">
        <v>47</v>
      </c>
      <c r="C15" s="31" t="s">
        <v>228</v>
      </c>
      <c r="D15" s="31">
        <v>231</v>
      </c>
      <c r="E15" s="31" t="s">
        <v>46</v>
      </c>
      <c r="F15" s="32" t="s">
        <v>754</v>
      </c>
      <c r="G15" s="31">
        <v>1</v>
      </c>
      <c r="H15" s="31">
        <v>0</v>
      </c>
      <c r="I15" s="32" t="s">
        <v>750</v>
      </c>
      <c r="J15" s="32" t="s">
        <v>751</v>
      </c>
      <c r="K15" s="32" t="s">
        <v>752</v>
      </c>
      <c r="L15" s="32" t="s">
        <v>753</v>
      </c>
      <c r="M15" s="31">
        <v>37</v>
      </c>
      <c r="N15" s="31">
        <v>13</v>
      </c>
      <c r="O15" s="31" t="s">
        <v>700</v>
      </c>
      <c r="P15" s="31" t="s">
        <v>702</v>
      </c>
      <c r="Q15" s="31" t="s">
        <v>701</v>
      </c>
      <c r="R15" s="31"/>
      <c r="S15" s="31" t="s">
        <v>706</v>
      </c>
      <c r="T15" s="53" t="s">
        <v>1658</v>
      </c>
    </row>
    <row r="16" spans="1:20" ht="105" customHeight="1">
      <c r="A16" s="31">
        <v>9</v>
      </c>
      <c r="B16" s="31">
        <v>47</v>
      </c>
      <c r="C16" s="31" t="s">
        <v>228</v>
      </c>
      <c r="D16" s="31">
        <v>232</v>
      </c>
      <c r="E16" s="31" t="s">
        <v>46</v>
      </c>
      <c r="F16" s="32" t="s">
        <v>755</v>
      </c>
      <c r="G16" s="31">
        <v>1</v>
      </c>
      <c r="H16" s="31">
        <v>0</v>
      </c>
      <c r="I16" s="32" t="s">
        <v>750</v>
      </c>
      <c r="J16" s="32" t="s">
        <v>751</v>
      </c>
      <c r="K16" s="32" t="s">
        <v>752</v>
      </c>
      <c r="L16" s="32" t="s">
        <v>753</v>
      </c>
      <c r="M16" s="31">
        <v>37</v>
      </c>
      <c r="N16" s="31">
        <v>13</v>
      </c>
      <c r="O16" s="31" t="s">
        <v>700</v>
      </c>
      <c r="P16" s="31" t="s">
        <v>702</v>
      </c>
      <c r="Q16" s="31" t="s">
        <v>701</v>
      </c>
      <c r="R16" s="31"/>
      <c r="S16" s="31" t="s">
        <v>706</v>
      </c>
      <c r="T16" s="53" t="s">
        <v>1658</v>
      </c>
    </row>
    <row r="17" spans="1:20" ht="105" customHeight="1">
      <c r="A17" s="31">
        <v>9</v>
      </c>
      <c r="B17" s="31">
        <v>47</v>
      </c>
      <c r="C17" s="31" t="s">
        <v>228</v>
      </c>
      <c r="D17" s="31">
        <v>233</v>
      </c>
      <c r="E17" s="31" t="s">
        <v>46</v>
      </c>
      <c r="F17" s="32" t="s">
        <v>756</v>
      </c>
      <c r="G17" s="31">
        <v>1</v>
      </c>
      <c r="H17" s="31">
        <v>0</v>
      </c>
      <c r="I17" s="32" t="s">
        <v>750</v>
      </c>
      <c r="J17" s="32" t="s">
        <v>751</v>
      </c>
      <c r="K17" s="32" t="s">
        <v>752</v>
      </c>
      <c r="L17" s="32" t="s">
        <v>753</v>
      </c>
      <c r="M17" s="31">
        <v>37</v>
      </c>
      <c r="N17" s="31">
        <v>13</v>
      </c>
      <c r="O17" s="31" t="s">
        <v>700</v>
      </c>
      <c r="P17" s="31" t="s">
        <v>702</v>
      </c>
      <c r="Q17" s="31" t="s">
        <v>701</v>
      </c>
      <c r="R17" s="31"/>
      <c r="S17" s="31" t="s">
        <v>706</v>
      </c>
      <c r="T17" s="53" t="s">
        <v>1658</v>
      </c>
    </row>
    <row r="18" spans="1:20" ht="105" customHeight="1">
      <c r="A18" s="31">
        <v>9</v>
      </c>
      <c r="B18" s="31">
        <v>47</v>
      </c>
      <c r="C18" s="31" t="s">
        <v>228</v>
      </c>
      <c r="D18" s="31">
        <v>234</v>
      </c>
      <c r="E18" s="31" t="s">
        <v>46</v>
      </c>
      <c r="F18" s="32" t="s">
        <v>757</v>
      </c>
      <c r="G18" s="31">
        <v>1</v>
      </c>
      <c r="H18" s="31">
        <v>0</v>
      </c>
      <c r="I18" s="32" t="s">
        <v>750</v>
      </c>
      <c r="J18" s="32" t="s">
        <v>751</v>
      </c>
      <c r="K18" s="32" t="s">
        <v>752</v>
      </c>
      <c r="L18" s="32" t="s">
        <v>753</v>
      </c>
      <c r="M18" s="31">
        <v>37</v>
      </c>
      <c r="N18" s="31">
        <v>13</v>
      </c>
      <c r="O18" s="31" t="s">
        <v>700</v>
      </c>
      <c r="P18" s="31" t="s">
        <v>702</v>
      </c>
      <c r="Q18" s="31" t="s">
        <v>701</v>
      </c>
      <c r="R18" s="31"/>
      <c r="S18" s="31" t="s">
        <v>706</v>
      </c>
      <c r="T18" s="53" t="s">
        <v>1658</v>
      </c>
    </row>
    <row r="19" spans="1:20" ht="105" customHeight="1">
      <c r="A19" s="31">
        <v>10</v>
      </c>
      <c r="B19" s="31">
        <v>48</v>
      </c>
      <c r="C19" s="31" t="s">
        <v>231</v>
      </c>
      <c r="D19" s="31">
        <v>238</v>
      </c>
      <c r="E19" s="31" t="s">
        <v>67</v>
      </c>
      <c r="F19" s="32" t="s">
        <v>233</v>
      </c>
      <c r="G19" s="31">
        <v>1</v>
      </c>
      <c r="H19" s="31">
        <v>0</v>
      </c>
      <c r="I19" s="32" t="s">
        <v>758</v>
      </c>
      <c r="J19" s="32" t="s">
        <v>759</v>
      </c>
      <c r="K19" s="32" t="s">
        <v>760</v>
      </c>
      <c r="L19" s="32" t="s">
        <v>761</v>
      </c>
      <c r="M19" s="31">
        <v>3</v>
      </c>
      <c r="N19" s="31">
        <v>12</v>
      </c>
      <c r="O19" s="31" t="s">
        <v>762</v>
      </c>
      <c r="P19" s="31" t="s">
        <v>702</v>
      </c>
      <c r="Q19" s="31" t="s">
        <v>701</v>
      </c>
      <c r="R19" s="31"/>
      <c r="S19" s="50" t="s">
        <v>1660</v>
      </c>
      <c r="T19" s="50" t="s">
        <v>1661</v>
      </c>
    </row>
    <row r="20" spans="1:20" ht="105" customHeight="1">
      <c r="A20" s="31">
        <v>10</v>
      </c>
      <c r="B20" s="31">
        <v>48</v>
      </c>
      <c r="C20" s="31" t="s">
        <v>231</v>
      </c>
      <c r="D20" s="31">
        <v>239</v>
      </c>
      <c r="E20" s="31" t="s">
        <v>67</v>
      </c>
      <c r="F20" s="32" t="s">
        <v>763</v>
      </c>
      <c r="G20" s="31">
        <v>1</v>
      </c>
      <c r="H20" s="31">
        <v>0</v>
      </c>
      <c r="I20" s="32" t="s">
        <v>758</v>
      </c>
      <c r="J20" s="32" t="s">
        <v>764</v>
      </c>
      <c r="K20" s="32" t="s">
        <v>760</v>
      </c>
      <c r="L20" s="32" t="s">
        <v>761</v>
      </c>
      <c r="M20" s="31">
        <v>3</v>
      </c>
      <c r="N20" s="31">
        <v>12</v>
      </c>
      <c r="O20" s="31" t="s">
        <v>762</v>
      </c>
      <c r="P20" s="31" t="s">
        <v>702</v>
      </c>
      <c r="Q20" s="31" t="s">
        <v>701</v>
      </c>
      <c r="R20" s="31"/>
      <c r="S20" s="31" t="s">
        <v>706</v>
      </c>
      <c r="T20" s="50" t="s">
        <v>1662</v>
      </c>
    </row>
    <row r="21" spans="1:20" ht="105" customHeight="1">
      <c r="A21" s="31">
        <v>11</v>
      </c>
      <c r="B21" s="31">
        <v>58</v>
      </c>
      <c r="C21" s="31" t="s">
        <v>234</v>
      </c>
      <c r="D21" s="31">
        <v>288</v>
      </c>
      <c r="E21" s="31" t="s">
        <v>236</v>
      </c>
      <c r="F21" s="32" t="s">
        <v>237</v>
      </c>
      <c r="G21" s="31">
        <v>1</v>
      </c>
      <c r="H21" s="31">
        <v>0</v>
      </c>
      <c r="I21" s="32" t="s">
        <v>765</v>
      </c>
      <c r="J21" s="32" t="s">
        <v>766</v>
      </c>
      <c r="K21" s="32" t="s">
        <v>767</v>
      </c>
      <c r="L21" s="32" t="s">
        <v>768</v>
      </c>
      <c r="M21" s="31">
        <v>1</v>
      </c>
      <c r="N21" s="31">
        <v>1</v>
      </c>
      <c r="O21" s="31" t="s">
        <v>769</v>
      </c>
      <c r="P21" s="31" t="s">
        <v>702</v>
      </c>
      <c r="Q21" s="31" t="s">
        <v>701</v>
      </c>
      <c r="R21" s="31"/>
      <c r="S21" s="31" t="s">
        <v>706</v>
      </c>
      <c r="T21" s="53" t="s">
        <v>1663</v>
      </c>
    </row>
    <row r="22" spans="1:20" ht="105" customHeight="1">
      <c r="A22" s="31">
        <v>12</v>
      </c>
      <c r="B22" s="31">
        <v>61</v>
      </c>
      <c r="C22" s="31" t="s">
        <v>238</v>
      </c>
      <c r="D22" s="31">
        <v>300</v>
      </c>
      <c r="E22" s="31" t="s">
        <v>67</v>
      </c>
      <c r="F22" s="32" t="s">
        <v>240</v>
      </c>
      <c r="G22" s="31">
        <v>1</v>
      </c>
      <c r="H22" s="31">
        <v>0</v>
      </c>
      <c r="I22" s="32" t="s">
        <v>770</v>
      </c>
      <c r="J22" s="32" t="s">
        <v>771</v>
      </c>
      <c r="K22" s="32" t="s">
        <v>772</v>
      </c>
      <c r="L22" s="32" t="s">
        <v>773</v>
      </c>
      <c r="M22" s="31">
        <v>28</v>
      </c>
      <c r="N22" s="31">
        <v>3</v>
      </c>
      <c r="O22" s="31" t="s">
        <v>700</v>
      </c>
      <c r="P22" s="31" t="s">
        <v>702</v>
      </c>
      <c r="Q22" s="31" t="s">
        <v>701</v>
      </c>
      <c r="R22" s="31"/>
      <c r="S22" s="31" t="s">
        <v>706</v>
      </c>
      <c r="T22" s="53" t="s">
        <v>1664</v>
      </c>
    </row>
    <row r="23" spans="1:20" ht="105" customHeight="1">
      <c r="A23" s="31">
        <v>12</v>
      </c>
      <c r="B23" s="31">
        <v>61</v>
      </c>
      <c r="C23" s="31" t="s">
        <v>238</v>
      </c>
      <c r="D23" s="31">
        <v>302</v>
      </c>
      <c r="E23" s="31" t="s">
        <v>67</v>
      </c>
      <c r="F23" s="32" t="s">
        <v>774</v>
      </c>
      <c r="G23" s="31">
        <v>1</v>
      </c>
      <c r="H23" s="31">
        <v>0</v>
      </c>
      <c r="I23" s="32" t="s">
        <v>770</v>
      </c>
      <c r="J23" s="32" t="s">
        <v>771</v>
      </c>
      <c r="K23" s="32" t="s">
        <v>772</v>
      </c>
      <c r="L23" s="32" t="s">
        <v>773</v>
      </c>
      <c r="M23" s="31">
        <v>28</v>
      </c>
      <c r="N23" s="31">
        <v>3</v>
      </c>
      <c r="O23" s="31" t="s">
        <v>700</v>
      </c>
      <c r="P23" s="31" t="s">
        <v>702</v>
      </c>
      <c r="Q23" s="31" t="s">
        <v>701</v>
      </c>
      <c r="R23" s="31"/>
      <c r="S23" s="31" t="s">
        <v>706</v>
      </c>
      <c r="T23" s="53" t="s">
        <v>1664</v>
      </c>
    </row>
    <row r="24" spans="1:20" ht="105" customHeight="1">
      <c r="A24" s="31">
        <v>13</v>
      </c>
      <c r="B24" s="31">
        <v>66</v>
      </c>
      <c r="C24" s="31" t="s">
        <v>241</v>
      </c>
      <c r="D24" s="31">
        <v>327</v>
      </c>
      <c r="E24" s="31" t="s">
        <v>243</v>
      </c>
      <c r="F24" s="32" t="s">
        <v>244</v>
      </c>
      <c r="G24" s="31">
        <v>1</v>
      </c>
      <c r="H24" s="31">
        <v>0</v>
      </c>
      <c r="I24" s="32" t="s">
        <v>775</v>
      </c>
      <c r="J24" s="32" t="s">
        <v>776</v>
      </c>
      <c r="K24" s="32" t="s">
        <v>777</v>
      </c>
      <c r="L24" s="32" t="s">
        <v>778</v>
      </c>
      <c r="M24" s="31">
        <v>4</v>
      </c>
      <c r="N24" s="31">
        <v>2</v>
      </c>
      <c r="O24" s="31" t="s">
        <v>762</v>
      </c>
      <c r="P24" s="31" t="s">
        <v>702</v>
      </c>
      <c r="Q24" s="31" t="s">
        <v>701</v>
      </c>
      <c r="R24" s="31"/>
      <c r="S24" s="31" t="s">
        <v>706</v>
      </c>
      <c r="T24" s="53" t="s">
        <v>1665</v>
      </c>
    </row>
    <row r="25" spans="1:20" ht="105" customHeight="1">
      <c r="A25" s="31">
        <v>14</v>
      </c>
      <c r="B25" s="31">
        <v>67</v>
      </c>
      <c r="C25" s="31" t="s">
        <v>245</v>
      </c>
      <c r="D25" s="31">
        <v>331</v>
      </c>
      <c r="E25" s="31" t="s">
        <v>67</v>
      </c>
      <c r="F25" s="32" t="s">
        <v>247</v>
      </c>
      <c r="G25" s="31">
        <v>1</v>
      </c>
      <c r="H25" s="31">
        <v>0</v>
      </c>
      <c r="I25" s="32" t="s">
        <v>779</v>
      </c>
      <c r="J25" s="32" t="s">
        <v>780</v>
      </c>
      <c r="K25" s="32" t="s">
        <v>781</v>
      </c>
      <c r="L25" s="32" t="s">
        <v>782</v>
      </c>
      <c r="M25" s="31">
        <v>1</v>
      </c>
      <c r="N25" s="31">
        <v>1</v>
      </c>
      <c r="O25" s="31" t="s">
        <v>762</v>
      </c>
      <c r="P25" s="31" t="s">
        <v>701</v>
      </c>
      <c r="Q25" s="31" t="s">
        <v>701</v>
      </c>
      <c r="R25" s="31"/>
      <c r="S25" s="53" t="s">
        <v>1660</v>
      </c>
      <c r="T25" s="53" t="s">
        <v>1666</v>
      </c>
    </row>
    <row r="26" spans="1:20" ht="105" customHeight="1">
      <c r="A26" s="31">
        <v>15</v>
      </c>
      <c r="B26" s="31">
        <v>72</v>
      </c>
      <c r="C26" s="31" t="s">
        <v>248</v>
      </c>
      <c r="D26" s="31">
        <v>355</v>
      </c>
      <c r="E26" s="31" t="s">
        <v>222</v>
      </c>
      <c r="F26" s="32" t="s">
        <v>250</v>
      </c>
      <c r="G26" s="31">
        <v>1</v>
      </c>
      <c r="H26" s="31">
        <v>0</v>
      </c>
      <c r="I26" s="32" t="s">
        <v>783</v>
      </c>
      <c r="J26" s="32" t="s">
        <v>784</v>
      </c>
      <c r="K26" s="32" t="s">
        <v>785</v>
      </c>
      <c r="L26" s="32" t="s">
        <v>786</v>
      </c>
      <c r="M26" s="31">
        <v>1</v>
      </c>
      <c r="N26" s="31">
        <v>1</v>
      </c>
      <c r="O26" s="31" t="s">
        <v>787</v>
      </c>
      <c r="P26" s="31" t="s">
        <v>702</v>
      </c>
      <c r="Q26" s="31" t="s">
        <v>701</v>
      </c>
      <c r="R26" s="31"/>
      <c r="S26" s="53" t="s">
        <v>1660</v>
      </c>
      <c r="T26" s="53" t="s">
        <v>1667</v>
      </c>
    </row>
    <row r="27" spans="1:20" ht="105" customHeight="1">
      <c r="A27" s="31">
        <v>16</v>
      </c>
      <c r="B27" s="31">
        <v>78</v>
      </c>
      <c r="C27" s="31" t="s">
        <v>251</v>
      </c>
      <c r="D27" s="31">
        <v>387</v>
      </c>
      <c r="E27" s="31" t="s">
        <v>218</v>
      </c>
      <c r="F27" s="32" t="s">
        <v>253</v>
      </c>
      <c r="G27" s="31">
        <v>1</v>
      </c>
      <c r="H27" s="31">
        <v>0</v>
      </c>
      <c r="I27" s="32" t="s">
        <v>788</v>
      </c>
      <c r="J27" s="32" t="s">
        <v>789</v>
      </c>
      <c r="K27" s="32" t="s">
        <v>790</v>
      </c>
      <c r="L27" s="32" t="s">
        <v>791</v>
      </c>
      <c r="M27" s="31">
        <v>0</v>
      </c>
      <c r="N27" s="31">
        <v>34</v>
      </c>
      <c r="O27" s="31" t="s">
        <v>726</v>
      </c>
      <c r="P27" s="31" t="s">
        <v>702</v>
      </c>
      <c r="Q27" s="31" t="s">
        <v>701</v>
      </c>
      <c r="R27" s="31"/>
      <c r="S27" s="31" t="s">
        <v>706</v>
      </c>
      <c r="T27" s="53" t="s">
        <v>1669</v>
      </c>
    </row>
    <row r="28" spans="1:20" ht="105" customHeight="1">
      <c r="A28" s="31">
        <v>17</v>
      </c>
      <c r="B28" s="31">
        <v>80</v>
      </c>
      <c r="C28" s="31" t="s">
        <v>254</v>
      </c>
      <c r="D28" s="31">
        <v>399</v>
      </c>
      <c r="E28" s="31" t="s">
        <v>67</v>
      </c>
      <c r="F28" s="32" t="s">
        <v>256</v>
      </c>
      <c r="G28" s="31">
        <v>1</v>
      </c>
      <c r="H28" s="31">
        <v>0</v>
      </c>
      <c r="I28" s="32" t="s">
        <v>792</v>
      </c>
      <c r="J28" s="32" t="s">
        <v>793</v>
      </c>
      <c r="K28" s="32" t="s">
        <v>794</v>
      </c>
      <c r="L28" s="32" t="s">
        <v>795</v>
      </c>
      <c r="M28" s="31">
        <v>12</v>
      </c>
      <c r="N28" s="31">
        <v>29</v>
      </c>
      <c r="O28" s="31" t="s">
        <v>796</v>
      </c>
      <c r="P28" s="31" t="s">
        <v>701</v>
      </c>
      <c r="Q28" s="31" t="s">
        <v>701</v>
      </c>
      <c r="R28" s="31"/>
      <c r="S28" s="53" t="s">
        <v>1660</v>
      </c>
      <c r="T28" s="53" t="s">
        <v>1670</v>
      </c>
    </row>
    <row r="29" spans="1:20" ht="105" customHeight="1">
      <c r="A29" s="31">
        <v>18</v>
      </c>
      <c r="B29" s="31">
        <v>81</v>
      </c>
      <c r="C29" s="31" t="s">
        <v>257</v>
      </c>
      <c r="D29" s="31">
        <v>404</v>
      </c>
      <c r="E29" s="31" t="s">
        <v>226</v>
      </c>
      <c r="F29" s="32" t="s">
        <v>259</v>
      </c>
      <c r="G29" s="31">
        <v>1</v>
      </c>
      <c r="H29" s="31">
        <v>0</v>
      </c>
      <c r="I29" s="32" t="s">
        <v>797</v>
      </c>
      <c r="J29" s="32" t="s">
        <v>798</v>
      </c>
      <c r="K29" s="32" t="s">
        <v>799</v>
      </c>
      <c r="L29" s="32" t="s">
        <v>800</v>
      </c>
      <c r="M29" s="31">
        <v>6</v>
      </c>
      <c r="N29" s="31">
        <v>1</v>
      </c>
      <c r="O29" s="31" t="s">
        <v>762</v>
      </c>
      <c r="P29" s="31" t="s">
        <v>702</v>
      </c>
      <c r="Q29" s="31" t="s">
        <v>701</v>
      </c>
      <c r="R29" s="31"/>
      <c r="S29" s="31" t="s">
        <v>706</v>
      </c>
      <c r="T29" s="53" t="s">
        <v>1671</v>
      </c>
    </row>
    <row r="30" spans="1:20" ht="105" customHeight="1">
      <c r="A30" s="31">
        <v>19</v>
      </c>
      <c r="B30" s="31">
        <v>82</v>
      </c>
      <c r="C30" s="31" t="s">
        <v>260</v>
      </c>
      <c r="D30" s="31">
        <v>407</v>
      </c>
      <c r="E30" s="31" t="s">
        <v>57</v>
      </c>
      <c r="F30" s="32" t="s">
        <v>262</v>
      </c>
      <c r="G30" s="31">
        <v>1</v>
      </c>
      <c r="H30" s="31">
        <v>0</v>
      </c>
      <c r="I30" s="32" t="s">
        <v>801</v>
      </c>
      <c r="J30" s="32" t="s">
        <v>802</v>
      </c>
      <c r="K30" s="32" t="s">
        <v>803</v>
      </c>
      <c r="L30" s="32" t="s">
        <v>804</v>
      </c>
      <c r="M30" s="31">
        <v>1</v>
      </c>
      <c r="N30" s="31">
        <v>1</v>
      </c>
      <c r="O30" s="31" t="s">
        <v>762</v>
      </c>
      <c r="P30" s="31" t="s">
        <v>702</v>
      </c>
      <c r="Q30" s="31" t="s">
        <v>701</v>
      </c>
      <c r="R30" s="31"/>
      <c r="S30" s="31" t="s">
        <v>706</v>
      </c>
      <c r="T30" s="53" t="s">
        <v>1673</v>
      </c>
    </row>
    <row r="31" spans="1:20" ht="105" customHeight="1">
      <c r="A31" s="31">
        <v>19</v>
      </c>
      <c r="B31" s="31">
        <v>82</v>
      </c>
      <c r="C31" s="31" t="s">
        <v>260</v>
      </c>
      <c r="D31" s="31">
        <v>409</v>
      </c>
      <c r="E31" s="31" t="s">
        <v>57</v>
      </c>
      <c r="F31" s="32" t="s">
        <v>805</v>
      </c>
      <c r="G31" s="31">
        <v>1</v>
      </c>
      <c r="H31" s="31">
        <v>0</v>
      </c>
      <c r="I31" s="32" t="s">
        <v>801</v>
      </c>
      <c r="J31" s="32" t="s">
        <v>806</v>
      </c>
      <c r="K31" s="32" t="s">
        <v>807</v>
      </c>
      <c r="L31" s="32" t="s">
        <v>804</v>
      </c>
      <c r="M31" s="31">
        <v>1</v>
      </c>
      <c r="N31" s="31">
        <v>1</v>
      </c>
      <c r="O31" s="31" t="s">
        <v>769</v>
      </c>
      <c r="P31" s="31" t="s">
        <v>702</v>
      </c>
      <c r="Q31" s="31" t="s">
        <v>701</v>
      </c>
      <c r="R31" s="31"/>
      <c r="S31" s="31" t="s">
        <v>706</v>
      </c>
      <c r="T31" s="53" t="s">
        <v>1674</v>
      </c>
    </row>
    <row r="32" spans="1:20" ht="105" customHeight="1">
      <c r="A32" s="31">
        <v>20</v>
      </c>
      <c r="B32" s="31">
        <v>93</v>
      </c>
      <c r="C32" s="31" t="s">
        <v>49</v>
      </c>
      <c r="D32" s="31">
        <v>460</v>
      </c>
      <c r="E32" s="31" t="s">
        <v>50</v>
      </c>
      <c r="F32" s="32" t="s">
        <v>123</v>
      </c>
      <c r="G32" s="31">
        <v>0</v>
      </c>
      <c r="H32" s="31">
        <v>0</v>
      </c>
      <c r="I32" s="32" t="s">
        <v>124</v>
      </c>
      <c r="J32" s="32" t="s">
        <v>124</v>
      </c>
      <c r="K32" s="32" t="s">
        <v>808</v>
      </c>
      <c r="L32" s="32" t="s">
        <v>125</v>
      </c>
      <c r="M32" s="31">
        <v>1</v>
      </c>
      <c r="N32" s="31">
        <v>1</v>
      </c>
      <c r="O32" s="31" t="s">
        <v>796</v>
      </c>
      <c r="P32" s="31" t="s">
        <v>701</v>
      </c>
      <c r="Q32" s="31" t="s">
        <v>701</v>
      </c>
      <c r="R32" s="31" t="s">
        <v>25</v>
      </c>
      <c r="S32" s="53" t="s">
        <v>1660</v>
      </c>
      <c r="T32" s="53"/>
    </row>
    <row r="33" spans="1:20" ht="105" customHeight="1">
      <c r="A33" s="31">
        <v>20</v>
      </c>
      <c r="B33" s="31">
        <v>93</v>
      </c>
      <c r="C33" s="31" t="s">
        <v>49</v>
      </c>
      <c r="D33" s="31">
        <v>461</v>
      </c>
      <c r="E33" s="31" t="s">
        <v>50</v>
      </c>
      <c r="F33" s="32" t="s">
        <v>809</v>
      </c>
      <c r="G33" s="31">
        <v>0</v>
      </c>
      <c r="H33" s="31">
        <v>0</v>
      </c>
      <c r="I33" s="32" t="s">
        <v>124</v>
      </c>
      <c r="J33" s="32" t="s">
        <v>810</v>
      </c>
      <c r="K33" s="32" t="s">
        <v>808</v>
      </c>
      <c r="L33" s="32" t="s">
        <v>125</v>
      </c>
      <c r="M33" s="31">
        <v>1</v>
      </c>
      <c r="N33" s="31">
        <v>1</v>
      </c>
      <c r="O33" s="31" t="s">
        <v>796</v>
      </c>
      <c r="P33" s="31" t="s">
        <v>701</v>
      </c>
      <c r="Q33" s="31" t="s">
        <v>701</v>
      </c>
      <c r="R33" s="31" t="s">
        <v>25</v>
      </c>
      <c r="S33" s="53" t="s">
        <v>1660</v>
      </c>
      <c r="T33" s="32"/>
    </row>
    <row r="34" spans="1:20" ht="105" customHeight="1">
      <c r="A34" s="31">
        <v>20</v>
      </c>
      <c r="B34" s="31">
        <v>93</v>
      </c>
      <c r="C34" s="31" t="s">
        <v>49</v>
      </c>
      <c r="D34" s="31">
        <v>462</v>
      </c>
      <c r="E34" s="31" t="s">
        <v>50</v>
      </c>
      <c r="F34" s="32" t="s">
        <v>811</v>
      </c>
      <c r="G34" s="31">
        <v>0</v>
      </c>
      <c r="H34" s="31">
        <v>0</v>
      </c>
      <c r="I34" s="32" t="s">
        <v>124</v>
      </c>
      <c r="J34" s="32" t="s">
        <v>124</v>
      </c>
      <c r="K34" s="32" t="s">
        <v>808</v>
      </c>
      <c r="L34" s="32" t="s">
        <v>125</v>
      </c>
      <c r="M34" s="31">
        <v>1</v>
      </c>
      <c r="N34" s="31">
        <v>1</v>
      </c>
      <c r="O34" s="31" t="s">
        <v>796</v>
      </c>
      <c r="P34" s="31" t="s">
        <v>701</v>
      </c>
      <c r="Q34" s="31" t="s">
        <v>701</v>
      </c>
      <c r="R34" s="31" t="s">
        <v>25</v>
      </c>
      <c r="S34" s="53" t="s">
        <v>1660</v>
      </c>
      <c r="T34" s="32"/>
    </row>
    <row r="35" spans="1:20" ht="105" customHeight="1">
      <c r="A35" s="31">
        <v>20</v>
      </c>
      <c r="B35" s="31">
        <v>93</v>
      </c>
      <c r="C35" s="31" t="s">
        <v>49</v>
      </c>
      <c r="D35" s="31">
        <v>463</v>
      </c>
      <c r="E35" s="31" t="s">
        <v>50</v>
      </c>
      <c r="F35" s="32" t="s">
        <v>812</v>
      </c>
      <c r="G35" s="31">
        <v>0</v>
      </c>
      <c r="H35" s="31">
        <v>0</v>
      </c>
      <c r="I35" s="32" t="s">
        <v>124</v>
      </c>
      <c r="J35" s="32" t="s">
        <v>810</v>
      </c>
      <c r="K35" s="32" t="s">
        <v>808</v>
      </c>
      <c r="L35" s="32" t="s">
        <v>125</v>
      </c>
      <c r="M35" s="31">
        <v>1</v>
      </c>
      <c r="N35" s="31">
        <v>1</v>
      </c>
      <c r="O35" s="31" t="s">
        <v>796</v>
      </c>
      <c r="P35" s="31" t="s">
        <v>701</v>
      </c>
      <c r="Q35" s="31" t="s">
        <v>701</v>
      </c>
      <c r="R35" s="31" t="s">
        <v>25</v>
      </c>
      <c r="S35" s="53" t="s">
        <v>1660</v>
      </c>
      <c r="T35" s="32"/>
    </row>
    <row r="36" spans="1:20" ht="105" customHeight="1">
      <c r="A36" s="31">
        <v>20</v>
      </c>
      <c r="B36" s="31">
        <v>93</v>
      </c>
      <c r="C36" s="31" t="s">
        <v>49</v>
      </c>
      <c r="D36" s="31">
        <v>464</v>
      </c>
      <c r="E36" s="31" t="s">
        <v>50</v>
      </c>
      <c r="F36" s="32" t="s">
        <v>813</v>
      </c>
      <c r="G36" s="31">
        <v>0</v>
      </c>
      <c r="H36" s="31">
        <v>0</v>
      </c>
      <c r="I36" s="32" t="s">
        <v>124</v>
      </c>
      <c r="J36" s="32" t="s">
        <v>814</v>
      </c>
      <c r="K36" s="32" t="s">
        <v>815</v>
      </c>
      <c r="L36" s="32" t="s">
        <v>125</v>
      </c>
      <c r="M36" s="31">
        <v>1</v>
      </c>
      <c r="N36" s="31">
        <v>1</v>
      </c>
      <c r="O36" s="31" t="s">
        <v>762</v>
      </c>
      <c r="P36" s="31" t="s">
        <v>702</v>
      </c>
      <c r="Q36" s="31" t="s">
        <v>701</v>
      </c>
      <c r="R36" s="31" t="s">
        <v>25</v>
      </c>
      <c r="S36" s="31" t="s">
        <v>706</v>
      </c>
      <c r="T36" s="53" t="s">
        <v>1677</v>
      </c>
    </row>
    <row r="37" spans="1:20" ht="105" customHeight="1">
      <c r="A37" s="31">
        <v>21</v>
      </c>
      <c r="B37" s="31">
        <v>95</v>
      </c>
      <c r="C37" s="31" t="s">
        <v>264</v>
      </c>
      <c r="D37" s="31">
        <v>472</v>
      </c>
      <c r="E37" s="31" t="s">
        <v>208</v>
      </c>
      <c r="F37" s="32" t="s">
        <v>266</v>
      </c>
      <c r="G37" s="31">
        <v>1</v>
      </c>
      <c r="H37" s="31">
        <v>0</v>
      </c>
      <c r="I37" s="32" t="s">
        <v>816</v>
      </c>
      <c r="J37" s="32" t="s">
        <v>817</v>
      </c>
      <c r="K37" s="32" t="s">
        <v>818</v>
      </c>
      <c r="L37" s="32" t="s">
        <v>819</v>
      </c>
      <c r="M37" s="31">
        <v>1</v>
      </c>
      <c r="N37" s="31">
        <v>2</v>
      </c>
      <c r="O37" s="31" t="s">
        <v>762</v>
      </c>
      <c r="P37" s="31" t="s">
        <v>702</v>
      </c>
      <c r="Q37" s="31" t="s">
        <v>701</v>
      </c>
      <c r="R37" s="31"/>
      <c r="S37" s="31" t="s">
        <v>706</v>
      </c>
      <c r="T37" s="53" t="s">
        <v>1678</v>
      </c>
    </row>
    <row r="38" spans="1:20" ht="105" customHeight="1">
      <c r="A38" s="31">
        <v>22</v>
      </c>
      <c r="B38" s="31">
        <v>100</v>
      </c>
      <c r="C38" s="31" t="s">
        <v>267</v>
      </c>
      <c r="D38" s="31">
        <v>498</v>
      </c>
      <c r="E38" s="31" t="s">
        <v>269</v>
      </c>
      <c r="F38" s="32" t="s">
        <v>822</v>
      </c>
      <c r="G38" s="31">
        <v>1</v>
      </c>
      <c r="H38" s="31">
        <v>0</v>
      </c>
      <c r="I38" s="32" t="s">
        <v>820</v>
      </c>
      <c r="J38" s="32" t="s">
        <v>823</v>
      </c>
      <c r="K38" s="32" t="s">
        <v>824</v>
      </c>
      <c r="L38" s="32" t="s">
        <v>821</v>
      </c>
      <c r="M38" s="31">
        <v>1</v>
      </c>
      <c r="N38" s="31">
        <v>1</v>
      </c>
      <c r="O38" s="31" t="s">
        <v>714</v>
      </c>
      <c r="P38" s="31" t="s">
        <v>702</v>
      </c>
      <c r="Q38" s="31" t="s">
        <v>701</v>
      </c>
      <c r="R38" s="31"/>
      <c r="S38" s="31" t="s">
        <v>706</v>
      </c>
      <c r="T38" s="54" t="s">
        <v>1681</v>
      </c>
    </row>
    <row r="39" spans="1:20" ht="105" customHeight="1">
      <c r="A39" s="31">
        <v>23</v>
      </c>
      <c r="B39" s="31">
        <v>104</v>
      </c>
      <c r="C39" s="31" t="s">
        <v>271</v>
      </c>
      <c r="D39" s="31">
        <v>515</v>
      </c>
      <c r="E39" s="31" t="s">
        <v>273</v>
      </c>
      <c r="F39" s="32" t="s">
        <v>274</v>
      </c>
      <c r="G39" s="31">
        <v>1</v>
      </c>
      <c r="H39" s="31">
        <v>0</v>
      </c>
      <c r="I39" s="32" t="s">
        <v>825</v>
      </c>
      <c r="J39" s="32" t="s">
        <v>826</v>
      </c>
      <c r="K39" s="32" t="s">
        <v>827</v>
      </c>
      <c r="L39" s="32" t="s">
        <v>828</v>
      </c>
      <c r="M39" s="31">
        <v>5</v>
      </c>
      <c r="N39" s="31">
        <v>2</v>
      </c>
      <c r="O39" s="31" t="s">
        <v>714</v>
      </c>
      <c r="P39" s="31" t="s">
        <v>702</v>
      </c>
      <c r="Q39" s="31" t="s">
        <v>701</v>
      </c>
      <c r="R39" s="31"/>
      <c r="S39" s="31" t="s">
        <v>706</v>
      </c>
      <c r="T39" s="53" t="s">
        <v>1680</v>
      </c>
    </row>
    <row r="40" spans="1:20" ht="105" customHeight="1">
      <c r="A40" s="31">
        <v>23</v>
      </c>
      <c r="B40" s="31">
        <v>104</v>
      </c>
      <c r="C40" s="31" t="s">
        <v>271</v>
      </c>
      <c r="D40" s="31">
        <v>516</v>
      </c>
      <c r="E40" s="31" t="s">
        <v>273</v>
      </c>
      <c r="F40" s="32" t="s">
        <v>829</v>
      </c>
      <c r="G40" s="31">
        <v>1</v>
      </c>
      <c r="H40" s="31">
        <v>0</v>
      </c>
      <c r="I40" s="32" t="s">
        <v>825</v>
      </c>
      <c r="J40" s="32" t="s">
        <v>826</v>
      </c>
      <c r="K40" s="32" t="s">
        <v>827</v>
      </c>
      <c r="L40" s="32" t="s">
        <v>828</v>
      </c>
      <c r="M40" s="31">
        <v>5</v>
      </c>
      <c r="N40" s="31">
        <v>2</v>
      </c>
      <c r="O40" s="31" t="s">
        <v>714</v>
      </c>
      <c r="P40" s="31" t="s">
        <v>702</v>
      </c>
      <c r="Q40" s="31" t="s">
        <v>701</v>
      </c>
      <c r="R40" s="31"/>
      <c r="S40" s="31" t="s">
        <v>706</v>
      </c>
      <c r="T40" s="53" t="s">
        <v>1680</v>
      </c>
    </row>
    <row r="41" spans="1:20" ht="105" customHeight="1">
      <c r="A41" s="31">
        <v>23</v>
      </c>
      <c r="B41" s="31">
        <v>104</v>
      </c>
      <c r="C41" s="31" t="s">
        <v>271</v>
      </c>
      <c r="D41" s="31">
        <v>518</v>
      </c>
      <c r="E41" s="31" t="s">
        <v>273</v>
      </c>
      <c r="F41" s="32" t="s">
        <v>830</v>
      </c>
      <c r="G41" s="31">
        <v>1</v>
      </c>
      <c r="H41" s="31">
        <v>0</v>
      </c>
      <c r="I41" s="32" t="s">
        <v>825</v>
      </c>
      <c r="J41" s="32" t="s">
        <v>831</v>
      </c>
      <c r="K41" s="32" t="s">
        <v>827</v>
      </c>
      <c r="L41" s="32" t="s">
        <v>828</v>
      </c>
      <c r="M41" s="31">
        <v>5</v>
      </c>
      <c r="N41" s="31">
        <v>2</v>
      </c>
      <c r="O41" s="31" t="s">
        <v>714</v>
      </c>
      <c r="P41" s="31" t="s">
        <v>702</v>
      </c>
      <c r="Q41" s="31" t="s">
        <v>701</v>
      </c>
      <c r="R41" s="31"/>
      <c r="S41" s="31" t="s">
        <v>706</v>
      </c>
      <c r="T41" s="53" t="s">
        <v>1680</v>
      </c>
    </row>
    <row r="42" spans="1:20" ht="105" customHeight="1">
      <c r="A42" s="31">
        <v>24</v>
      </c>
      <c r="B42" s="31">
        <v>114</v>
      </c>
      <c r="C42" s="31" t="s">
        <v>275</v>
      </c>
      <c r="D42" s="31">
        <v>568</v>
      </c>
      <c r="E42" s="31" t="s">
        <v>54</v>
      </c>
      <c r="F42" s="32" t="s">
        <v>277</v>
      </c>
      <c r="G42" s="31">
        <v>1</v>
      </c>
      <c r="H42" s="31">
        <v>0</v>
      </c>
      <c r="I42" s="32" t="s">
        <v>832</v>
      </c>
      <c r="J42" s="32" t="s">
        <v>833</v>
      </c>
      <c r="K42" s="32" t="s">
        <v>834</v>
      </c>
      <c r="L42" s="32" t="s">
        <v>835</v>
      </c>
      <c r="M42" s="31">
        <v>3</v>
      </c>
      <c r="N42" s="31">
        <v>4</v>
      </c>
      <c r="O42" s="31" t="s">
        <v>714</v>
      </c>
      <c r="P42" s="31" t="s">
        <v>701</v>
      </c>
      <c r="Q42" s="31" t="s">
        <v>701</v>
      </c>
      <c r="R42" s="31"/>
      <c r="S42" s="53" t="s">
        <v>1660</v>
      </c>
      <c r="T42" s="53" t="s">
        <v>1682</v>
      </c>
    </row>
    <row r="43" spans="1:20" ht="105" customHeight="1">
      <c r="A43" s="31">
        <v>24</v>
      </c>
      <c r="B43" s="31">
        <v>114</v>
      </c>
      <c r="C43" s="31" t="s">
        <v>275</v>
      </c>
      <c r="D43" s="31">
        <v>569</v>
      </c>
      <c r="E43" s="31" t="s">
        <v>54</v>
      </c>
      <c r="F43" s="32" t="s">
        <v>836</v>
      </c>
      <c r="G43" s="31">
        <v>1</v>
      </c>
      <c r="H43" s="31">
        <v>0</v>
      </c>
      <c r="I43" s="32" t="s">
        <v>832</v>
      </c>
      <c r="J43" s="32" t="s">
        <v>833</v>
      </c>
      <c r="K43" s="32" t="s">
        <v>834</v>
      </c>
      <c r="L43" s="32" t="s">
        <v>835</v>
      </c>
      <c r="M43" s="31">
        <v>3</v>
      </c>
      <c r="N43" s="31">
        <v>4</v>
      </c>
      <c r="O43" s="31" t="s">
        <v>714</v>
      </c>
      <c r="P43" s="31" t="s">
        <v>701</v>
      </c>
      <c r="Q43" s="31" t="s">
        <v>701</v>
      </c>
      <c r="R43" s="31"/>
      <c r="S43" s="53" t="s">
        <v>1684</v>
      </c>
      <c r="T43" s="53" t="s">
        <v>1682</v>
      </c>
    </row>
    <row r="44" spans="1:20" ht="105" customHeight="1">
      <c r="A44" s="31">
        <v>25</v>
      </c>
      <c r="B44" s="31">
        <v>115</v>
      </c>
      <c r="C44" s="31" t="s">
        <v>278</v>
      </c>
      <c r="D44" s="31">
        <v>574</v>
      </c>
      <c r="E44" s="31" t="s">
        <v>57</v>
      </c>
      <c r="F44" s="32" t="s">
        <v>280</v>
      </c>
      <c r="G44" s="31">
        <v>1</v>
      </c>
      <c r="H44" s="31">
        <v>0</v>
      </c>
      <c r="I44" s="32" t="s">
        <v>837</v>
      </c>
      <c r="J44" s="32" t="s">
        <v>838</v>
      </c>
      <c r="K44" s="32" t="s">
        <v>839</v>
      </c>
      <c r="L44" s="32" t="s">
        <v>840</v>
      </c>
      <c r="M44" s="31">
        <v>0</v>
      </c>
      <c r="N44" s="31">
        <v>1</v>
      </c>
      <c r="O44" s="31" t="s">
        <v>726</v>
      </c>
      <c r="P44" s="31" t="s">
        <v>701</v>
      </c>
      <c r="Q44" s="31" t="s">
        <v>701</v>
      </c>
      <c r="R44" s="31"/>
      <c r="S44" s="53" t="s">
        <v>1684</v>
      </c>
      <c r="T44" s="53" t="s">
        <v>1685</v>
      </c>
    </row>
    <row r="45" spans="1:20" ht="105" customHeight="1">
      <c r="A45" s="31">
        <v>26</v>
      </c>
      <c r="B45" s="31">
        <v>120</v>
      </c>
      <c r="C45" s="31" t="s">
        <v>281</v>
      </c>
      <c r="D45" s="31">
        <v>597</v>
      </c>
      <c r="E45" s="31" t="s">
        <v>67</v>
      </c>
      <c r="F45" s="32" t="s">
        <v>283</v>
      </c>
      <c r="G45" s="31">
        <v>1</v>
      </c>
      <c r="H45" s="31">
        <v>0</v>
      </c>
      <c r="I45" s="32" t="s">
        <v>841</v>
      </c>
      <c r="J45" s="32" t="s">
        <v>842</v>
      </c>
      <c r="K45" s="32" t="s">
        <v>843</v>
      </c>
      <c r="L45" s="32" t="s">
        <v>844</v>
      </c>
      <c r="M45" s="31">
        <v>34</v>
      </c>
      <c r="N45" s="31">
        <v>18</v>
      </c>
      <c r="O45" s="31" t="s">
        <v>762</v>
      </c>
      <c r="P45" s="31" t="s">
        <v>702</v>
      </c>
      <c r="Q45" s="31" t="s">
        <v>701</v>
      </c>
      <c r="R45" s="31"/>
      <c r="S45" s="31" t="s">
        <v>706</v>
      </c>
      <c r="T45" s="53" t="s">
        <v>1686</v>
      </c>
    </row>
    <row r="46" spans="1:20" ht="105" customHeight="1">
      <c r="A46" s="31">
        <v>27</v>
      </c>
      <c r="B46" s="31">
        <v>123</v>
      </c>
      <c r="C46" s="31" t="s">
        <v>284</v>
      </c>
      <c r="D46" s="31">
        <v>612</v>
      </c>
      <c r="E46" s="31" t="s">
        <v>46</v>
      </c>
      <c r="F46" s="32" t="s">
        <v>286</v>
      </c>
      <c r="G46" s="31">
        <v>1</v>
      </c>
      <c r="H46" s="31">
        <v>0</v>
      </c>
      <c r="I46" s="32" t="s">
        <v>845</v>
      </c>
      <c r="J46" s="32" t="s">
        <v>846</v>
      </c>
      <c r="K46" s="32" t="s">
        <v>847</v>
      </c>
      <c r="L46" s="32" t="s">
        <v>848</v>
      </c>
      <c r="M46" s="31">
        <v>45</v>
      </c>
      <c r="N46" s="31">
        <v>34</v>
      </c>
      <c r="O46" s="31" t="s">
        <v>700</v>
      </c>
      <c r="P46" s="31" t="s">
        <v>701</v>
      </c>
      <c r="Q46" s="31" t="s">
        <v>701</v>
      </c>
      <c r="R46" s="31"/>
      <c r="S46" s="53" t="s">
        <v>1684</v>
      </c>
      <c r="T46" s="53" t="s">
        <v>1687</v>
      </c>
    </row>
    <row r="47" spans="1:20" ht="105" customHeight="1">
      <c r="A47" s="31">
        <v>28</v>
      </c>
      <c r="B47" s="31">
        <v>125</v>
      </c>
      <c r="C47" s="31" t="s">
        <v>287</v>
      </c>
      <c r="D47" s="31">
        <v>620</v>
      </c>
      <c r="E47" s="31" t="s">
        <v>88</v>
      </c>
      <c r="F47" s="32" t="s">
        <v>289</v>
      </c>
      <c r="G47" s="31">
        <v>1</v>
      </c>
      <c r="H47" s="31">
        <v>0</v>
      </c>
      <c r="I47" s="32" t="s">
        <v>849</v>
      </c>
      <c r="J47" s="32" t="s">
        <v>850</v>
      </c>
      <c r="K47" s="32" t="s">
        <v>851</v>
      </c>
      <c r="L47" s="32" t="s">
        <v>852</v>
      </c>
      <c r="M47" s="31">
        <v>1</v>
      </c>
      <c r="N47" s="31">
        <v>1</v>
      </c>
      <c r="O47" s="31" t="s">
        <v>762</v>
      </c>
      <c r="P47" s="31" t="s">
        <v>701</v>
      </c>
      <c r="Q47" s="31" t="s">
        <v>701</v>
      </c>
      <c r="R47" s="31"/>
      <c r="S47" s="53" t="s">
        <v>1684</v>
      </c>
      <c r="T47" s="53" t="s">
        <v>1688</v>
      </c>
    </row>
    <row r="48" spans="1:20" ht="105" customHeight="1">
      <c r="A48" s="31">
        <v>28</v>
      </c>
      <c r="B48" s="31">
        <v>125</v>
      </c>
      <c r="C48" s="31" t="s">
        <v>287</v>
      </c>
      <c r="D48" s="31">
        <v>623</v>
      </c>
      <c r="E48" s="31" t="s">
        <v>88</v>
      </c>
      <c r="F48" s="32" t="s">
        <v>853</v>
      </c>
      <c r="G48" s="31">
        <v>1</v>
      </c>
      <c r="H48" s="31">
        <v>0</v>
      </c>
      <c r="I48" s="32" t="s">
        <v>849</v>
      </c>
      <c r="J48" s="32" t="s">
        <v>854</v>
      </c>
      <c r="K48" s="32" t="s">
        <v>855</v>
      </c>
      <c r="L48" s="32" t="s">
        <v>852</v>
      </c>
      <c r="M48" s="31">
        <v>5</v>
      </c>
      <c r="N48" s="31">
        <v>1</v>
      </c>
      <c r="O48" s="31" t="s">
        <v>762</v>
      </c>
      <c r="P48" s="31" t="s">
        <v>701</v>
      </c>
      <c r="Q48" s="31" t="s">
        <v>701</v>
      </c>
      <c r="R48" s="31"/>
      <c r="S48" s="53" t="s">
        <v>1684</v>
      </c>
      <c r="T48" s="53" t="s">
        <v>1688</v>
      </c>
    </row>
    <row r="49" spans="1:20" ht="105" customHeight="1">
      <c r="A49" s="31">
        <v>29</v>
      </c>
      <c r="B49" s="31">
        <v>127</v>
      </c>
      <c r="C49" s="31" t="s">
        <v>290</v>
      </c>
      <c r="D49" s="31">
        <v>631</v>
      </c>
      <c r="E49" s="31" t="s">
        <v>50</v>
      </c>
      <c r="F49" s="32" t="s">
        <v>292</v>
      </c>
      <c r="G49" s="31">
        <v>1</v>
      </c>
      <c r="H49" s="31">
        <v>0</v>
      </c>
      <c r="I49" s="32" t="s">
        <v>856</v>
      </c>
      <c r="J49" s="32" t="s">
        <v>857</v>
      </c>
      <c r="K49" s="32" t="s">
        <v>858</v>
      </c>
      <c r="L49" s="32" t="s">
        <v>859</v>
      </c>
      <c r="M49" s="31">
        <v>1</v>
      </c>
      <c r="N49" s="31">
        <v>1</v>
      </c>
      <c r="O49" s="31" t="s">
        <v>700</v>
      </c>
      <c r="P49" s="31" t="s">
        <v>701</v>
      </c>
      <c r="Q49" s="31" t="s">
        <v>701</v>
      </c>
      <c r="R49" s="31"/>
      <c r="S49" s="53" t="s">
        <v>1684</v>
      </c>
      <c r="T49" s="56" t="s">
        <v>1689</v>
      </c>
    </row>
    <row r="50" spans="1:20" ht="105" customHeight="1">
      <c r="A50" s="31">
        <v>30</v>
      </c>
      <c r="B50" s="31">
        <v>128</v>
      </c>
      <c r="C50" s="31" t="s">
        <v>293</v>
      </c>
      <c r="D50" s="31">
        <v>637</v>
      </c>
      <c r="E50" s="31" t="s">
        <v>54</v>
      </c>
      <c r="F50" s="32" t="s">
        <v>295</v>
      </c>
      <c r="G50" s="31">
        <v>1</v>
      </c>
      <c r="H50" s="31">
        <v>0</v>
      </c>
      <c r="I50" s="32" t="s">
        <v>860</v>
      </c>
      <c r="J50" s="32" t="s">
        <v>861</v>
      </c>
      <c r="K50" s="32" t="s">
        <v>862</v>
      </c>
      <c r="L50" s="32" t="s">
        <v>863</v>
      </c>
      <c r="M50" s="31">
        <v>1</v>
      </c>
      <c r="N50" s="31">
        <v>1</v>
      </c>
      <c r="O50" s="31" t="s">
        <v>769</v>
      </c>
      <c r="P50" s="31" t="s">
        <v>702</v>
      </c>
      <c r="Q50" s="31" t="s">
        <v>701</v>
      </c>
      <c r="R50" s="31"/>
      <c r="S50" s="31" t="s">
        <v>706</v>
      </c>
      <c r="T50" s="53" t="s">
        <v>1690</v>
      </c>
    </row>
    <row r="51" spans="1:20" ht="105" customHeight="1">
      <c r="A51" s="31">
        <v>31</v>
      </c>
      <c r="B51" s="31">
        <v>130</v>
      </c>
      <c r="C51" s="31" t="s">
        <v>296</v>
      </c>
      <c r="D51" s="31">
        <v>649</v>
      </c>
      <c r="E51" s="31" t="s">
        <v>236</v>
      </c>
      <c r="F51" s="32" t="s">
        <v>298</v>
      </c>
      <c r="G51" s="31">
        <v>1</v>
      </c>
      <c r="H51" s="31">
        <v>0</v>
      </c>
      <c r="I51" s="32" t="s">
        <v>864</v>
      </c>
      <c r="J51" s="32" t="s">
        <v>865</v>
      </c>
      <c r="K51" s="32" t="s">
        <v>866</v>
      </c>
      <c r="L51" s="32" t="s">
        <v>867</v>
      </c>
      <c r="M51" s="31">
        <v>4</v>
      </c>
      <c r="N51" s="31">
        <v>4</v>
      </c>
      <c r="O51" s="31" t="s">
        <v>762</v>
      </c>
      <c r="P51" s="31" t="s">
        <v>701</v>
      </c>
      <c r="Q51" s="31" t="s">
        <v>701</v>
      </c>
      <c r="R51" s="31"/>
      <c r="S51" s="53" t="s">
        <v>1684</v>
      </c>
      <c r="T51" s="53" t="s">
        <v>1691</v>
      </c>
    </row>
    <row r="52" spans="1:20" ht="105" customHeight="1">
      <c r="A52" s="31">
        <v>32</v>
      </c>
      <c r="B52" s="31">
        <v>133</v>
      </c>
      <c r="C52" s="31" t="s">
        <v>299</v>
      </c>
      <c r="D52" s="31">
        <v>662</v>
      </c>
      <c r="E52" s="31" t="s">
        <v>46</v>
      </c>
      <c r="F52" s="32" t="s">
        <v>301</v>
      </c>
      <c r="G52" s="31">
        <v>1</v>
      </c>
      <c r="H52" s="31">
        <v>0</v>
      </c>
      <c r="I52" s="32" t="s">
        <v>868</v>
      </c>
      <c r="J52" s="32" t="s">
        <v>869</v>
      </c>
      <c r="K52" s="32" t="s">
        <v>870</v>
      </c>
      <c r="L52" s="32" t="s">
        <v>871</v>
      </c>
      <c r="M52" s="31">
        <v>78</v>
      </c>
      <c r="N52" s="31">
        <v>3</v>
      </c>
      <c r="O52" s="31" t="s">
        <v>700</v>
      </c>
      <c r="P52" s="31" t="s">
        <v>702</v>
      </c>
      <c r="Q52" s="31" t="s">
        <v>701</v>
      </c>
      <c r="R52" s="31"/>
      <c r="S52" s="31" t="s">
        <v>706</v>
      </c>
      <c r="T52" s="53" t="s">
        <v>1692</v>
      </c>
    </row>
    <row r="53" spans="1:20" ht="105" customHeight="1">
      <c r="A53" s="31">
        <v>32</v>
      </c>
      <c r="B53" s="31">
        <v>133</v>
      </c>
      <c r="C53" s="31" t="s">
        <v>299</v>
      </c>
      <c r="D53" s="31">
        <v>663</v>
      </c>
      <c r="E53" s="31" t="s">
        <v>46</v>
      </c>
      <c r="F53" s="32" t="s">
        <v>872</v>
      </c>
      <c r="G53" s="31">
        <v>1</v>
      </c>
      <c r="H53" s="31">
        <v>0</v>
      </c>
      <c r="I53" s="32" t="s">
        <v>868</v>
      </c>
      <c r="J53" s="32" t="s">
        <v>873</v>
      </c>
      <c r="K53" s="32" t="s">
        <v>870</v>
      </c>
      <c r="L53" s="32" t="s">
        <v>871</v>
      </c>
      <c r="M53" s="31">
        <v>78</v>
      </c>
      <c r="N53" s="31">
        <v>3</v>
      </c>
      <c r="O53" s="31" t="s">
        <v>700</v>
      </c>
      <c r="P53" s="31" t="s">
        <v>702</v>
      </c>
      <c r="Q53" s="31" t="s">
        <v>701</v>
      </c>
      <c r="R53" s="31"/>
      <c r="S53" s="31" t="s">
        <v>706</v>
      </c>
      <c r="T53" s="53" t="s">
        <v>1692</v>
      </c>
    </row>
    <row r="54" spans="1:20" ht="105" customHeight="1">
      <c r="A54" s="31">
        <v>33</v>
      </c>
      <c r="B54" s="31">
        <v>135</v>
      </c>
      <c r="C54" s="31" t="s">
        <v>302</v>
      </c>
      <c r="D54" s="31">
        <v>673</v>
      </c>
      <c r="E54" s="31" t="s">
        <v>218</v>
      </c>
      <c r="F54" s="32" t="s">
        <v>304</v>
      </c>
      <c r="G54" s="31">
        <v>1</v>
      </c>
      <c r="H54" s="31">
        <v>0</v>
      </c>
      <c r="I54" s="32" t="s">
        <v>874</v>
      </c>
      <c r="J54" s="32" t="s">
        <v>875</v>
      </c>
      <c r="K54" s="32" t="s">
        <v>876</v>
      </c>
      <c r="L54" s="32" t="s">
        <v>877</v>
      </c>
      <c r="M54" s="31">
        <v>20</v>
      </c>
      <c r="N54" s="31">
        <v>20</v>
      </c>
      <c r="O54" s="31" t="s">
        <v>762</v>
      </c>
      <c r="P54" s="31" t="s">
        <v>702</v>
      </c>
      <c r="Q54" s="31" t="s">
        <v>701</v>
      </c>
      <c r="R54" s="31"/>
      <c r="S54" s="31" t="s">
        <v>706</v>
      </c>
      <c r="T54" s="53" t="s">
        <v>1693</v>
      </c>
    </row>
    <row r="55" spans="1:20" ht="105" customHeight="1">
      <c r="A55" s="31">
        <v>33</v>
      </c>
      <c r="B55" s="31">
        <v>135</v>
      </c>
      <c r="C55" s="31" t="s">
        <v>302</v>
      </c>
      <c r="D55" s="31">
        <v>674</v>
      </c>
      <c r="E55" s="31" t="s">
        <v>218</v>
      </c>
      <c r="F55" s="32" t="s">
        <v>878</v>
      </c>
      <c r="G55" s="31">
        <v>1</v>
      </c>
      <c r="H55" s="31">
        <v>0</v>
      </c>
      <c r="I55" s="32" t="s">
        <v>874</v>
      </c>
      <c r="J55" s="32" t="s">
        <v>879</v>
      </c>
      <c r="K55" s="32" t="s">
        <v>880</v>
      </c>
      <c r="L55" s="32" t="s">
        <v>877</v>
      </c>
      <c r="M55" s="31">
        <v>20</v>
      </c>
      <c r="N55" s="31">
        <v>20</v>
      </c>
      <c r="O55" s="31" t="s">
        <v>762</v>
      </c>
      <c r="P55" s="31" t="s">
        <v>702</v>
      </c>
      <c r="Q55" s="31" t="s">
        <v>701</v>
      </c>
      <c r="R55" s="31"/>
      <c r="S55" s="31" t="s">
        <v>706</v>
      </c>
      <c r="T55" s="53" t="s">
        <v>1693</v>
      </c>
    </row>
    <row r="56" spans="1:20" ht="105" customHeight="1">
      <c r="A56" s="31">
        <v>34</v>
      </c>
      <c r="B56" s="31">
        <v>136</v>
      </c>
      <c r="C56" s="31" t="s">
        <v>305</v>
      </c>
      <c r="D56" s="31">
        <v>676</v>
      </c>
      <c r="E56" s="31" t="s">
        <v>63</v>
      </c>
      <c r="F56" s="32" t="s">
        <v>307</v>
      </c>
      <c r="G56" s="31">
        <v>1</v>
      </c>
      <c r="H56" s="31">
        <v>0</v>
      </c>
      <c r="I56" s="32" t="s">
        <v>881</v>
      </c>
      <c r="J56" s="32" t="s">
        <v>882</v>
      </c>
      <c r="K56" s="32" t="s">
        <v>883</v>
      </c>
      <c r="L56" s="32" t="s">
        <v>884</v>
      </c>
      <c r="M56" s="31">
        <v>23</v>
      </c>
      <c r="N56" s="31">
        <v>23</v>
      </c>
      <c r="O56" s="31" t="s">
        <v>769</v>
      </c>
      <c r="P56" s="31" t="s">
        <v>701</v>
      </c>
      <c r="Q56" s="31" t="s">
        <v>701</v>
      </c>
      <c r="R56" s="31"/>
      <c r="S56" s="53" t="s">
        <v>1684</v>
      </c>
      <c r="T56" s="32" t="s">
        <v>1694</v>
      </c>
    </row>
    <row r="57" spans="1:20" ht="105" customHeight="1">
      <c r="A57" s="31">
        <v>35</v>
      </c>
      <c r="B57" s="31">
        <v>137</v>
      </c>
      <c r="C57" s="31" t="s">
        <v>53</v>
      </c>
      <c r="D57" s="31">
        <v>680</v>
      </c>
      <c r="E57" s="31" t="s">
        <v>54</v>
      </c>
      <c r="F57" s="32" t="s">
        <v>126</v>
      </c>
      <c r="G57" s="31">
        <v>0</v>
      </c>
      <c r="H57" s="31">
        <v>0</v>
      </c>
      <c r="I57" s="32" t="s">
        <v>127</v>
      </c>
      <c r="J57" s="32" t="s">
        <v>127</v>
      </c>
      <c r="K57" s="32" t="s">
        <v>885</v>
      </c>
      <c r="L57" s="32" t="s">
        <v>128</v>
      </c>
      <c r="M57" s="31">
        <v>1</v>
      </c>
      <c r="N57" s="31">
        <v>1</v>
      </c>
      <c r="O57" s="31" t="s">
        <v>714</v>
      </c>
      <c r="P57" s="31" t="s">
        <v>701</v>
      </c>
      <c r="Q57" s="31" t="s">
        <v>701</v>
      </c>
      <c r="R57" s="31" t="s">
        <v>23</v>
      </c>
      <c r="S57" s="53" t="s">
        <v>1684</v>
      </c>
      <c r="T57" s="53" t="s">
        <v>1695</v>
      </c>
    </row>
    <row r="58" spans="1:20" ht="105" customHeight="1">
      <c r="A58" s="31">
        <v>35</v>
      </c>
      <c r="B58" s="31">
        <v>137</v>
      </c>
      <c r="C58" s="31" t="s">
        <v>53</v>
      </c>
      <c r="D58" s="31">
        <v>681</v>
      </c>
      <c r="E58" s="31" t="s">
        <v>54</v>
      </c>
      <c r="F58" s="32" t="s">
        <v>886</v>
      </c>
      <c r="G58" s="31">
        <v>0</v>
      </c>
      <c r="H58" s="31">
        <v>0</v>
      </c>
      <c r="I58" s="32" t="s">
        <v>127</v>
      </c>
      <c r="J58" s="32" t="s">
        <v>127</v>
      </c>
      <c r="K58" s="32" t="s">
        <v>885</v>
      </c>
      <c r="L58" s="32" t="s">
        <v>128</v>
      </c>
      <c r="M58" s="31">
        <v>1</v>
      </c>
      <c r="N58" s="31">
        <v>1</v>
      </c>
      <c r="O58" s="31" t="s">
        <v>714</v>
      </c>
      <c r="P58" s="31" t="s">
        <v>701</v>
      </c>
      <c r="Q58" s="31" t="s">
        <v>701</v>
      </c>
      <c r="R58" s="31" t="s">
        <v>23</v>
      </c>
      <c r="S58" s="53" t="s">
        <v>1684</v>
      </c>
      <c r="T58" s="53" t="s">
        <v>1695</v>
      </c>
    </row>
    <row r="59" spans="1:20" ht="105" customHeight="1">
      <c r="A59" s="31">
        <v>35</v>
      </c>
      <c r="B59" s="31">
        <v>137</v>
      </c>
      <c r="C59" s="31" t="s">
        <v>53</v>
      </c>
      <c r="D59" s="31">
        <v>682</v>
      </c>
      <c r="E59" s="31" t="s">
        <v>54</v>
      </c>
      <c r="F59" s="32" t="s">
        <v>887</v>
      </c>
      <c r="G59" s="31">
        <v>0</v>
      </c>
      <c r="H59" s="31">
        <v>0</v>
      </c>
      <c r="I59" s="32" t="s">
        <v>127</v>
      </c>
      <c r="J59" s="32" t="s">
        <v>127</v>
      </c>
      <c r="K59" s="32" t="s">
        <v>885</v>
      </c>
      <c r="L59" s="32" t="s">
        <v>128</v>
      </c>
      <c r="M59" s="31">
        <v>1</v>
      </c>
      <c r="N59" s="31">
        <v>1</v>
      </c>
      <c r="O59" s="31" t="s">
        <v>714</v>
      </c>
      <c r="P59" s="31" t="s">
        <v>701</v>
      </c>
      <c r="Q59" s="31" t="s">
        <v>701</v>
      </c>
      <c r="R59" s="31" t="s">
        <v>23</v>
      </c>
      <c r="S59" s="53" t="s">
        <v>1684</v>
      </c>
      <c r="T59" s="53" t="s">
        <v>1695</v>
      </c>
    </row>
    <row r="60" spans="1:20" ht="105" customHeight="1">
      <c r="A60" s="31">
        <v>35</v>
      </c>
      <c r="B60" s="31">
        <v>137</v>
      </c>
      <c r="C60" s="31" t="s">
        <v>53</v>
      </c>
      <c r="D60" s="31">
        <v>683</v>
      </c>
      <c r="E60" s="31" t="s">
        <v>54</v>
      </c>
      <c r="F60" s="32" t="s">
        <v>888</v>
      </c>
      <c r="G60" s="31">
        <v>0</v>
      </c>
      <c r="H60" s="31">
        <v>0</v>
      </c>
      <c r="I60" s="32" t="s">
        <v>127</v>
      </c>
      <c r="J60" s="32" t="s">
        <v>127</v>
      </c>
      <c r="K60" s="32" t="s">
        <v>885</v>
      </c>
      <c r="L60" s="32" t="s">
        <v>128</v>
      </c>
      <c r="M60" s="31">
        <v>1</v>
      </c>
      <c r="N60" s="31">
        <v>1</v>
      </c>
      <c r="O60" s="31" t="s">
        <v>714</v>
      </c>
      <c r="P60" s="31" t="s">
        <v>701</v>
      </c>
      <c r="Q60" s="31" t="s">
        <v>701</v>
      </c>
      <c r="R60" s="31" t="s">
        <v>23</v>
      </c>
      <c r="S60" s="53" t="s">
        <v>1684</v>
      </c>
      <c r="T60" s="53" t="s">
        <v>1695</v>
      </c>
    </row>
    <row r="61" spans="1:20" ht="105" customHeight="1">
      <c r="A61" s="31">
        <v>35</v>
      </c>
      <c r="B61" s="31">
        <v>137</v>
      </c>
      <c r="C61" s="31" t="s">
        <v>53</v>
      </c>
      <c r="D61" s="31">
        <v>684</v>
      </c>
      <c r="E61" s="31" t="s">
        <v>54</v>
      </c>
      <c r="F61" s="32" t="s">
        <v>889</v>
      </c>
      <c r="G61" s="31">
        <v>0</v>
      </c>
      <c r="H61" s="31">
        <v>0</v>
      </c>
      <c r="I61" s="32" t="s">
        <v>127</v>
      </c>
      <c r="J61" s="32" t="s">
        <v>127</v>
      </c>
      <c r="K61" s="32" t="s">
        <v>885</v>
      </c>
      <c r="L61" s="32" t="s">
        <v>128</v>
      </c>
      <c r="M61" s="31">
        <v>1</v>
      </c>
      <c r="N61" s="31">
        <v>1</v>
      </c>
      <c r="O61" s="31" t="s">
        <v>714</v>
      </c>
      <c r="P61" s="31" t="s">
        <v>701</v>
      </c>
      <c r="Q61" s="31" t="s">
        <v>701</v>
      </c>
      <c r="R61" s="31" t="s">
        <v>23</v>
      </c>
      <c r="S61" s="53" t="s">
        <v>1684</v>
      </c>
      <c r="T61" s="53" t="s">
        <v>1695</v>
      </c>
    </row>
    <row r="62" spans="1:20" ht="105" customHeight="1">
      <c r="A62" s="31">
        <v>36</v>
      </c>
      <c r="B62" s="31">
        <v>142</v>
      </c>
      <c r="C62" s="31" t="s">
        <v>309</v>
      </c>
      <c r="D62" s="31">
        <v>708</v>
      </c>
      <c r="E62" s="31" t="s">
        <v>46</v>
      </c>
      <c r="F62" s="32" t="s">
        <v>311</v>
      </c>
      <c r="G62" s="31">
        <v>1</v>
      </c>
      <c r="H62" s="31">
        <v>0</v>
      </c>
      <c r="I62" s="32" t="s">
        <v>890</v>
      </c>
      <c r="J62" s="32" t="s">
        <v>891</v>
      </c>
      <c r="K62" s="32" t="s">
        <v>892</v>
      </c>
      <c r="L62" s="32" t="s">
        <v>893</v>
      </c>
      <c r="M62" s="31">
        <v>0</v>
      </c>
      <c r="N62" s="31">
        <v>1</v>
      </c>
      <c r="O62" s="31" t="s">
        <v>726</v>
      </c>
      <c r="P62" s="31" t="s">
        <v>701</v>
      </c>
      <c r="Q62" s="31" t="s">
        <v>701</v>
      </c>
      <c r="R62" s="31"/>
      <c r="S62" s="31" t="s">
        <v>1697</v>
      </c>
      <c r="T62" s="32" t="s">
        <v>1696</v>
      </c>
    </row>
    <row r="63" spans="1:20" ht="105" customHeight="1">
      <c r="A63" s="31">
        <v>37</v>
      </c>
      <c r="B63" s="31">
        <v>145</v>
      </c>
      <c r="C63" s="31" t="s">
        <v>56</v>
      </c>
      <c r="D63" s="31">
        <v>720</v>
      </c>
      <c r="E63" s="31" t="s">
        <v>57</v>
      </c>
      <c r="F63" s="32" t="s">
        <v>129</v>
      </c>
      <c r="G63" s="31">
        <v>0</v>
      </c>
      <c r="H63" s="31">
        <v>0</v>
      </c>
      <c r="I63" s="32" t="s">
        <v>130</v>
      </c>
      <c r="J63" s="32" t="s">
        <v>894</v>
      </c>
      <c r="K63" s="32" t="s">
        <v>895</v>
      </c>
      <c r="L63" s="32" t="s">
        <v>131</v>
      </c>
      <c r="M63" s="31">
        <v>1</v>
      </c>
      <c r="N63" s="31">
        <v>1</v>
      </c>
      <c r="O63" s="31" t="s">
        <v>700</v>
      </c>
      <c r="P63" s="31" t="s">
        <v>701</v>
      </c>
      <c r="Q63" s="31" t="s">
        <v>701</v>
      </c>
      <c r="R63" s="31" t="s">
        <v>25</v>
      </c>
      <c r="S63" s="53" t="s">
        <v>1684</v>
      </c>
      <c r="T63" s="53" t="s">
        <v>1701</v>
      </c>
    </row>
    <row r="64" spans="1:20" ht="105" customHeight="1">
      <c r="A64" s="31">
        <v>37</v>
      </c>
      <c r="B64" s="31">
        <v>145</v>
      </c>
      <c r="C64" s="31" t="s">
        <v>56</v>
      </c>
      <c r="D64" s="31">
        <v>721</v>
      </c>
      <c r="E64" s="31" t="s">
        <v>57</v>
      </c>
      <c r="F64" s="32" t="s">
        <v>896</v>
      </c>
      <c r="G64" s="31">
        <v>0</v>
      </c>
      <c r="H64" s="31">
        <v>0</v>
      </c>
      <c r="I64" s="32" t="s">
        <v>130</v>
      </c>
      <c r="J64" s="32" t="s">
        <v>894</v>
      </c>
      <c r="K64" s="32" t="s">
        <v>895</v>
      </c>
      <c r="L64" s="32" t="s">
        <v>131</v>
      </c>
      <c r="M64" s="31">
        <v>1</v>
      </c>
      <c r="N64" s="31">
        <v>1</v>
      </c>
      <c r="O64" s="31" t="s">
        <v>700</v>
      </c>
      <c r="P64" s="31" t="s">
        <v>701</v>
      </c>
      <c r="Q64" s="31" t="s">
        <v>701</v>
      </c>
      <c r="R64" s="31" t="s">
        <v>25</v>
      </c>
      <c r="S64" s="53" t="s">
        <v>1684</v>
      </c>
      <c r="T64" s="53" t="s">
        <v>1701</v>
      </c>
    </row>
    <row r="65" spans="1:20" ht="105" customHeight="1">
      <c r="A65" s="31">
        <v>37</v>
      </c>
      <c r="B65" s="31">
        <v>145</v>
      </c>
      <c r="C65" s="31" t="s">
        <v>56</v>
      </c>
      <c r="D65" s="31">
        <v>722</v>
      </c>
      <c r="E65" s="31" t="s">
        <v>57</v>
      </c>
      <c r="F65" s="32" t="s">
        <v>897</v>
      </c>
      <c r="G65" s="31">
        <v>0</v>
      </c>
      <c r="H65" s="31">
        <v>0</v>
      </c>
      <c r="I65" s="32" t="s">
        <v>130</v>
      </c>
      <c r="J65" s="32" t="s">
        <v>898</v>
      </c>
      <c r="K65" s="32" t="s">
        <v>895</v>
      </c>
      <c r="L65" s="32" t="s">
        <v>131</v>
      </c>
      <c r="M65" s="31">
        <v>1</v>
      </c>
      <c r="N65" s="31">
        <v>1</v>
      </c>
      <c r="O65" s="31" t="s">
        <v>700</v>
      </c>
      <c r="P65" s="31" t="s">
        <v>701</v>
      </c>
      <c r="Q65" s="31" t="s">
        <v>701</v>
      </c>
      <c r="R65" s="31" t="s">
        <v>25</v>
      </c>
      <c r="S65" s="53" t="s">
        <v>1684</v>
      </c>
      <c r="T65" s="53" t="s">
        <v>1701</v>
      </c>
    </row>
    <row r="66" spans="1:20" ht="105" customHeight="1">
      <c r="A66" s="31">
        <v>37</v>
      </c>
      <c r="B66" s="31">
        <v>145</v>
      </c>
      <c r="C66" s="31" t="s">
        <v>56</v>
      </c>
      <c r="D66" s="31">
        <v>723</v>
      </c>
      <c r="E66" s="31" t="s">
        <v>57</v>
      </c>
      <c r="F66" s="32" t="s">
        <v>899</v>
      </c>
      <c r="G66" s="31">
        <v>0</v>
      </c>
      <c r="H66" s="31">
        <v>0</v>
      </c>
      <c r="I66" s="32" t="s">
        <v>130</v>
      </c>
      <c r="J66" s="32" t="s">
        <v>900</v>
      </c>
      <c r="K66" s="32" t="s">
        <v>895</v>
      </c>
      <c r="L66" s="32" t="s">
        <v>131</v>
      </c>
      <c r="M66" s="31">
        <v>1</v>
      </c>
      <c r="N66" s="31">
        <v>1</v>
      </c>
      <c r="O66" s="31" t="s">
        <v>700</v>
      </c>
      <c r="P66" s="31" t="s">
        <v>701</v>
      </c>
      <c r="Q66" s="31" t="s">
        <v>701</v>
      </c>
      <c r="R66" s="31" t="s">
        <v>25</v>
      </c>
      <c r="S66" s="53" t="s">
        <v>1684</v>
      </c>
      <c r="T66" s="53" t="s">
        <v>1701</v>
      </c>
    </row>
    <row r="67" spans="1:20" ht="105" customHeight="1">
      <c r="A67" s="31">
        <v>37</v>
      </c>
      <c r="B67" s="31">
        <v>145</v>
      </c>
      <c r="C67" s="31" t="s">
        <v>56</v>
      </c>
      <c r="D67" s="31">
        <v>724</v>
      </c>
      <c r="E67" s="31" t="s">
        <v>57</v>
      </c>
      <c r="F67" s="32" t="s">
        <v>901</v>
      </c>
      <c r="G67" s="31">
        <v>0</v>
      </c>
      <c r="H67" s="31">
        <v>0</v>
      </c>
      <c r="I67" s="32" t="s">
        <v>130</v>
      </c>
      <c r="J67" s="32" t="s">
        <v>902</v>
      </c>
      <c r="K67" s="32" t="s">
        <v>895</v>
      </c>
      <c r="L67" s="32" t="s">
        <v>131</v>
      </c>
      <c r="M67" s="31">
        <v>1</v>
      </c>
      <c r="N67" s="31">
        <v>1</v>
      </c>
      <c r="O67" s="31" t="s">
        <v>700</v>
      </c>
      <c r="P67" s="31" t="s">
        <v>701</v>
      </c>
      <c r="Q67" s="31" t="s">
        <v>701</v>
      </c>
      <c r="R67" s="31" t="s">
        <v>25</v>
      </c>
      <c r="S67" s="53" t="s">
        <v>1684</v>
      </c>
      <c r="T67" s="53" t="s">
        <v>1701</v>
      </c>
    </row>
    <row r="68" spans="1:20" ht="105" customHeight="1">
      <c r="A68" s="31">
        <v>38</v>
      </c>
      <c r="B68" s="31">
        <v>147</v>
      </c>
      <c r="C68" s="31" t="s">
        <v>313</v>
      </c>
      <c r="D68" s="31">
        <v>732</v>
      </c>
      <c r="E68" s="31" t="s">
        <v>273</v>
      </c>
      <c r="F68" s="32" t="s">
        <v>315</v>
      </c>
      <c r="G68" s="31">
        <v>1</v>
      </c>
      <c r="H68" s="31">
        <v>0</v>
      </c>
      <c r="I68" s="32" t="s">
        <v>903</v>
      </c>
      <c r="J68" s="32" t="s">
        <v>904</v>
      </c>
      <c r="K68" s="32" t="s">
        <v>905</v>
      </c>
      <c r="L68" s="32" t="s">
        <v>906</v>
      </c>
      <c r="M68" s="31">
        <v>3</v>
      </c>
      <c r="N68" s="31">
        <v>1</v>
      </c>
      <c r="O68" s="31" t="s">
        <v>700</v>
      </c>
      <c r="P68" s="31" t="s">
        <v>702</v>
      </c>
      <c r="Q68" s="31" t="s">
        <v>701</v>
      </c>
      <c r="R68" s="31"/>
      <c r="S68" s="31" t="s">
        <v>706</v>
      </c>
      <c r="T68" s="53" t="s">
        <v>1700</v>
      </c>
    </row>
    <row r="69" spans="1:20" ht="105" customHeight="1">
      <c r="A69" s="31">
        <v>39</v>
      </c>
      <c r="B69" s="31">
        <v>149</v>
      </c>
      <c r="C69" s="31" t="s">
        <v>316</v>
      </c>
      <c r="D69" s="31">
        <v>744</v>
      </c>
      <c r="E69" s="31" t="s">
        <v>318</v>
      </c>
      <c r="F69" s="32" t="s">
        <v>319</v>
      </c>
      <c r="G69" s="31">
        <v>1</v>
      </c>
      <c r="H69" s="31">
        <v>0</v>
      </c>
      <c r="I69" s="32" t="s">
        <v>907</v>
      </c>
      <c r="J69" s="32" t="s">
        <v>908</v>
      </c>
      <c r="K69" s="32" t="s">
        <v>909</v>
      </c>
      <c r="L69" s="32" t="s">
        <v>910</v>
      </c>
      <c r="M69" s="31">
        <v>0</v>
      </c>
      <c r="N69" s="31">
        <v>1</v>
      </c>
      <c r="O69" s="31" t="s">
        <v>726</v>
      </c>
      <c r="P69" s="31" t="s">
        <v>702</v>
      </c>
      <c r="Q69" s="31" t="s">
        <v>701</v>
      </c>
      <c r="R69" s="31"/>
      <c r="S69" s="31" t="s">
        <v>706</v>
      </c>
      <c r="T69" s="53" t="s">
        <v>1702</v>
      </c>
    </row>
    <row r="70" spans="1:20" ht="105" customHeight="1">
      <c r="A70" s="31">
        <v>40</v>
      </c>
      <c r="B70" s="31">
        <v>157</v>
      </c>
      <c r="C70" s="31" t="s">
        <v>320</v>
      </c>
      <c r="D70" s="31">
        <v>782</v>
      </c>
      <c r="E70" s="31" t="s">
        <v>236</v>
      </c>
      <c r="F70" s="32" t="s">
        <v>322</v>
      </c>
      <c r="G70" s="31">
        <v>1</v>
      </c>
      <c r="H70" s="31">
        <v>0</v>
      </c>
      <c r="I70" s="32" t="s">
        <v>911</v>
      </c>
      <c r="J70" s="32" t="s">
        <v>912</v>
      </c>
      <c r="K70" s="32" t="s">
        <v>913</v>
      </c>
      <c r="L70" s="32" t="s">
        <v>914</v>
      </c>
      <c r="M70" s="31">
        <v>0</v>
      </c>
      <c r="N70" s="31">
        <v>1</v>
      </c>
      <c r="O70" s="31" t="s">
        <v>726</v>
      </c>
      <c r="P70" s="31" t="s">
        <v>702</v>
      </c>
      <c r="Q70" s="31" t="s">
        <v>701</v>
      </c>
      <c r="R70" s="53" t="s">
        <v>1684</v>
      </c>
      <c r="S70" s="31" t="s">
        <v>706</v>
      </c>
      <c r="T70" s="53" t="s">
        <v>1704</v>
      </c>
    </row>
    <row r="71" spans="1:20" ht="105" customHeight="1">
      <c r="A71" s="31">
        <v>40</v>
      </c>
      <c r="B71" s="31">
        <v>157</v>
      </c>
      <c r="C71" s="31" t="s">
        <v>320</v>
      </c>
      <c r="D71" s="31">
        <v>783</v>
      </c>
      <c r="E71" s="31" t="s">
        <v>236</v>
      </c>
      <c r="F71" s="32" t="s">
        <v>915</v>
      </c>
      <c r="G71" s="31">
        <v>1</v>
      </c>
      <c r="H71" s="31">
        <v>0</v>
      </c>
      <c r="I71" s="32" t="s">
        <v>911</v>
      </c>
      <c r="J71" s="32" t="s">
        <v>916</v>
      </c>
      <c r="K71" s="32" t="s">
        <v>917</v>
      </c>
      <c r="L71" s="32" t="s">
        <v>914</v>
      </c>
      <c r="M71" s="31">
        <v>2</v>
      </c>
      <c r="N71" s="31">
        <v>1</v>
      </c>
      <c r="O71" s="31" t="s">
        <v>714</v>
      </c>
      <c r="P71" s="31" t="s">
        <v>702</v>
      </c>
      <c r="Q71" s="31" t="s">
        <v>701</v>
      </c>
      <c r="R71" s="31"/>
      <c r="S71" s="31" t="s">
        <v>706</v>
      </c>
      <c r="T71" s="53" t="s">
        <v>1704</v>
      </c>
    </row>
    <row r="72" spans="1:20" ht="105" customHeight="1">
      <c r="A72" s="31">
        <v>40</v>
      </c>
      <c r="B72" s="31">
        <v>157</v>
      </c>
      <c r="C72" s="31" t="s">
        <v>320</v>
      </c>
      <c r="D72" s="31">
        <v>784</v>
      </c>
      <c r="E72" s="31" t="s">
        <v>236</v>
      </c>
      <c r="F72" s="32" t="s">
        <v>918</v>
      </c>
      <c r="G72" s="31">
        <v>1</v>
      </c>
      <c r="H72" s="31">
        <v>0</v>
      </c>
      <c r="I72" s="32" t="s">
        <v>911</v>
      </c>
      <c r="J72" s="32" t="s">
        <v>912</v>
      </c>
      <c r="K72" s="32" t="s">
        <v>913</v>
      </c>
      <c r="L72" s="32" t="s">
        <v>914</v>
      </c>
      <c r="M72" s="31">
        <v>0</v>
      </c>
      <c r="N72" s="31">
        <v>1</v>
      </c>
      <c r="O72" s="31" t="s">
        <v>726</v>
      </c>
      <c r="P72" s="31" t="s">
        <v>702</v>
      </c>
      <c r="Q72" s="31" t="s">
        <v>701</v>
      </c>
      <c r="R72" s="53" t="s">
        <v>1684</v>
      </c>
      <c r="S72" s="31" t="s">
        <v>706</v>
      </c>
      <c r="T72" s="53" t="s">
        <v>1704</v>
      </c>
    </row>
    <row r="73" spans="1:20" ht="105" customHeight="1">
      <c r="A73" s="31">
        <v>41</v>
      </c>
      <c r="B73" s="31">
        <v>159</v>
      </c>
      <c r="C73" s="31" t="s">
        <v>323</v>
      </c>
      <c r="D73" s="31">
        <v>790</v>
      </c>
      <c r="E73" s="31" t="s">
        <v>41</v>
      </c>
      <c r="F73" s="32" t="s">
        <v>325</v>
      </c>
      <c r="G73" s="31">
        <v>1</v>
      </c>
      <c r="H73" s="31">
        <v>0</v>
      </c>
      <c r="I73" s="32" t="s">
        <v>919</v>
      </c>
      <c r="J73" s="32" t="s">
        <v>920</v>
      </c>
      <c r="K73" s="32" t="s">
        <v>921</v>
      </c>
      <c r="L73" s="32" t="s">
        <v>922</v>
      </c>
      <c r="M73" s="31">
        <v>3</v>
      </c>
      <c r="N73" s="31">
        <v>22</v>
      </c>
      <c r="O73" s="31" t="s">
        <v>796</v>
      </c>
      <c r="P73" s="31" t="s">
        <v>702</v>
      </c>
      <c r="Q73" s="31" t="s">
        <v>701</v>
      </c>
      <c r="R73" s="31"/>
      <c r="S73" s="31" t="s">
        <v>706</v>
      </c>
      <c r="T73" s="53" t="s">
        <v>1706</v>
      </c>
    </row>
    <row r="74" spans="1:20" ht="105" customHeight="1">
      <c r="A74" s="31">
        <v>41</v>
      </c>
      <c r="B74" s="31">
        <v>159</v>
      </c>
      <c r="C74" s="31" t="s">
        <v>323</v>
      </c>
      <c r="D74" s="31">
        <v>792</v>
      </c>
      <c r="E74" s="31" t="s">
        <v>41</v>
      </c>
      <c r="F74" s="32" t="s">
        <v>923</v>
      </c>
      <c r="G74" s="31">
        <v>1</v>
      </c>
      <c r="H74" s="31">
        <v>0</v>
      </c>
      <c r="I74" s="32" t="s">
        <v>919</v>
      </c>
      <c r="J74" s="32" t="s">
        <v>920</v>
      </c>
      <c r="K74" s="32" t="s">
        <v>921</v>
      </c>
      <c r="L74" s="32" t="s">
        <v>922</v>
      </c>
      <c r="M74" s="31">
        <v>3</v>
      </c>
      <c r="N74" s="31">
        <v>22</v>
      </c>
      <c r="O74" s="31" t="s">
        <v>796</v>
      </c>
      <c r="P74" s="31" t="s">
        <v>702</v>
      </c>
      <c r="Q74" s="31" t="s">
        <v>701</v>
      </c>
      <c r="R74" s="31"/>
      <c r="S74" s="31" t="s">
        <v>706</v>
      </c>
      <c r="T74" s="53" t="s">
        <v>1706</v>
      </c>
    </row>
    <row r="75" spans="1:20" ht="105" customHeight="1">
      <c r="A75" s="31">
        <v>42</v>
      </c>
      <c r="B75" s="31">
        <v>160</v>
      </c>
      <c r="C75" s="31" t="s">
        <v>326</v>
      </c>
      <c r="D75" s="31">
        <v>796</v>
      </c>
      <c r="E75" s="31" t="s">
        <v>328</v>
      </c>
      <c r="F75" s="32" t="s">
        <v>329</v>
      </c>
      <c r="G75" s="31">
        <v>1</v>
      </c>
      <c r="H75" s="31">
        <v>0</v>
      </c>
      <c r="I75" s="32" t="s">
        <v>924</v>
      </c>
      <c r="J75" s="32" t="s">
        <v>925</v>
      </c>
      <c r="K75" s="32" t="s">
        <v>926</v>
      </c>
      <c r="L75" s="32" t="s">
        <v>927</v>
      </c>
      <c r="M75" s="31">
        <v>10</v>
      </c>
      <c r="N75" s="31">
        <v>1</v>
      </c>
      <c r="O75" s="31" t="s">
        <v>769</v>
      </c>
      <c r="P75" s="31" t="s">
        <v>701</v>
      </c>
      <c r="Q75" s="31" t="s">
        <v>701</v>
      </c>
      <c r="R75" s="53" t="s">
        <v>1684</v>
      </c>
      <c r="S75" s="53" t="s">
        <v>1684</v>
      </c>
      <c r="T75" s="53" t="s">
        <v>1708</v>
      </c>
    </row>
    <row r="76" spans="1:20" ht="105" customHeight="1">
      <c r="A76" s="31">
        <v>42</v>
      </c>
      <c r="B76" s="31">
        <v>160</v>
      </c>
      <c r="C76" s="31" t="s">
        <v>326</v>
      </c>
      <c r="D76" s="31">
        <v>799</v>
      </c>
      <c r="E76" s="31" t="s">
        <v>328</v>
      </c>
      <c r="F76" s="32" t="s">
        <v>928</v>
      </c>
      <c r="G76" s="31">
        <v>1</v>
      </c>
      <c r="H76" s="31">
        <v>0</v>
      </c>
      <c r="I76" s="32" t="s">
        <v>924</v>
      </c>
      <c r="J76" s="32" t="s">
        <v>925</v>
      </c>
      <c r="K76" s="32" t="s">
        <v>926</v>
      </c>
      <c r="L76" s="32" t="s">
        <v>927</v>
      </c>
      <c r="M76" s="31">
        <v>10</v>
      </c>
      <c r="N76" s="31">
        <v>1</v>
      </c>
      <c r="O76" s="31" t="s">
        <v>769</v>
      </c>
      <c r="P76" s="31" t="s">
        <v>701</v>
      </c>
      <c r="Q76" s="31" t="s">
        <v>701</v>
      </c>
      <c r="R76" s="53" t="s">
        <v>1684</v>
      </c>
      <c r="S76" s="53" t="s">
        <v>1684</v>
      </c>
      <c r="T76" s="53" t="s">
        <v>1708</v>
      </c>
    </row>
    <row r="77" spans="1:20" ht="105" customHeight="1">
      <c r="A77" s="31">
        <v>43</v>
      </c>
      <c r="B77" s="31">
        <v>161</v>
      </c>
      <c r="C77" s="31" t="s">
        <v>330</v>
      </c>
      <c r="D77" s="31">
        <v>802</v>
      </c>
      <c r="E77" s="31" t="s">
        <v>41</v>
      </c>
      <c r="F77" s="32" t="s">
        <v>332</v>
      </c>
      <c r="G77" s="31">
        <v>1</v>
      </c>
      <c r="H77" s="31">
        <v>0</v>
      </c>
      <c r="I77" s="32" t="s">
        <v>929</v>
      </c>
      <c r="J77" s="32" t="s">
        <v>930</v>
      </c>
      <c r="K77" s="32" t="s">
        <v>931</v>
      </c>
      <c r="L77" s="32" t="s">
        <v>932</v>
      </c>
      <c r="M77" s="31">
        <v>0</v>
      </c>
      <c r="N77" s="31">
        <v>37</v>
      </c>
      <c r="O77" s="31" t="s">
        <v>726</v>
      </c>
      <c r="P77" s="31" t="s">
        <v>702</v>
      </c>
      <c r="Q77" s="31" t="s">
        <v>701</v>
      </c>
      <c r="R77" s="31"/>
      <c r="S77" s="31" t="s">
        <v>706</v>
      </c>
      <c r="T77" s="53" t="s">
        <v>1709</v>
      </c>
    </row>
    <row r="78" spans="1:20" ht="105" customHeight="1">
      <c r="A78" s="31">
        <v>43</v>
      </c>
      <c r="B78" s="31">
        <v>161</v>
      </c>
      <c r="C78" s="31" t="s">
        <v>330</v>
      </c>
      <c r="D78" s="31">
        <v>804</v>
      </c>
      <c r="E78" s="31" t="s">
        <v>41</v>
      </c>
      <c r="F78" s="32" t="s">
        <v>933</v>
      </c>
      <c r="G78" s="31">
        <v>1</v>
      </c>
      <c r="H78" s="31">
        <v>0</v>
      </c>
      <c r="I78" s="32" t="s">
        <v>929</v>
      </c>
      <c r="J78" s="32" t="s">
        <v>934</v>
      </c>
      <c r="K78" s="32" t="s">
        <v>931</v>
      </c>
      <c r="L78" s="32" t="s">
        <v>932</v>
      </c>
      <c r="M78" s="31">
        <v>0</v>
      </c>
      <c r="N78" s="31">
        <v>37</v>
      </c>
      <c r="O78" s="31" t="s">
        <v>726</v>
      </c>
      <c r="P78" s="31" t="s">
        <v>702</v>
      </c>
      <c r="Q78" s="31" t="s">
        <v>701</v>
      </c>
      <c r="R78" s="31"/>
      <c r="S78" s="31" t="s">
        <v>706</v>
      </c>
      <c r="T78" s="53" t="s">
        <v>1709</v>
      </c>
    </row>
    <row r="79" spans="1:20" ht="105" customHeight="1">
      <c r="A79" s="31">
        <v>44</v>
      </c>
      <c r="B79" s="31">
        <v>163</v>
      </c>
      <c r="C79" s="31" t="s">
        <v>333</v>
      </c>
      <c r="D79" s="31">
        <v>811</v>
      </c>
      <c r="E79" s="31" t="s">
        <v>76</v>
      </c>
      <c r="F79" s="32" t="s">
        <v>335</v>
      </c>
      <c r="G79" s="31">
        <v>1</v>
      </c>
      <c r="H79" s="31">
        <v>0</v>
      </c>
      <c r="I79" s="32" t="s">
        <v>935</v>
      </c>
      <c r="J79" s="32" t="s">
        <v>936</v>
      </c>
      <c r="K79" s="32" t="s">
        <v>937</v>
      </c>
      <c r="L79" s="32" t="s">
        <v>938</v>
      </c>
      <c r="M79" s="31">
        <v>6</v>
      </c>
      <c r="N79" s="31">
        <v>1</v>
      </c>
      <c r="O79" s="31" t="s">
        <v>714</v>
      </c>
      <c r="P79" s="31" t="s">
        <v>702</v>
      </c>
      <c r="Q79" s="31" t="s">
        <v>701</v>
      </c>
      <c r="R79" s="31"/>
      <c r="S79" s="31" t="s">
        <v>706</v>
      </c>
      <c r="T79" s="53" t="s">
        <v>1711</v>
      </c>
    </row>
    <row r="80" spans="1:20" ht="105" customHeight="1">
      <c r="A80" s="31">
        <v>45</v>
      </c>
      <c r="B80" s="31">
        <v>165</v>
      </c>
      <c r="C80" s="31" t="s">
        <v>336</v>
      </c>
      <c r="D80" s="31">
        <v>822</v>
      </c>
      <c r="E80" s="31" t="s">
        <v>222</v>
      </c>
      <c r="F80" s="32" t="s">
        <v>338</v>
      </c>
      <c r="G80" s="31">
        <v>1</v>
      </c>
      <c r="H80" s="31">
        <v>0</v>
      </c>
      <c r="I80" s="32" t="s">
        <v>939</v>
      </c>
      <c r="J80" s="32" t="s">
        <v>940</v>
      </c>
      <c r="K80" s="32" t="s">
        <v>941</v>
      </c>
      <c r="L80" s="32" t="s">
        <v>942</v>
      </c>
      <c r="M80" s="31">
        <v>115</v>
      </c>
      <c r="N80" s="31">
        <v>115</v>
      </c>
      <c r="O80" s="31" t="s">
        <v>769</v>
      </c>
      <c r="P80" s="31" t="s">
        <v>702</v>
      </c>
      <c r="Q80" s="31" t="s">
        <v>701</v>
      </c>
      <c r="R80" s="31"/>
      <c r="S80" s="31" t="s">
        <v>706</v>
      </c>
      <c r="T80" s="53" t="s">
        <v>1713</v>
      </c>
    </row>
    <row r="81" spans="1:20" ht="105" customHeight="1">
      <c r="A81" s="31">
        <v>45</v>
      </c>
      <c r="B81" s="31">
        <v>165</v>
      </c>
      <c r="C81" s="31" t="s">
        <v>336</v>
      </c>
      <c r="D81" s="31">
        <v>823</v>
      </c>
      <c r="E81" s="31" t="s">
        <v>222</v>
      </c>
      <c r="F81" s="32" t="s">
        <v>943</v>
      </c>
      <c r="G81" s="31">
        <v>1</v>
      </c>
      <c r="H81" s="31">
        <v>0</v>
      </c>
      <c r="I81" s="32" t="s">
        <v>939</v>
      </c>
      <c r="J81" s="32" t="s">
        <v>944</v>
      </c>
      <c r="K81" s="32" t="s">
        <v>945</v>
      </c>
      <c r="L81" s="32" t="s">
        <v>942</v>
      </c>
      <c r="M81" s="31">
        <v>115</v>
      </c>
      <c r="N81" s="31">
        <v>115</v>
      </c>
      <c r="O81" s="31" t="s">
        <v>769</v>
      </c>
      <c r="P81" s="31" t="s">
        <v>702</v>
      </c>
      <c r="Q81" s="31" t="s">
        <v>701</v>
      </c>
      <c r="R81" s="31"/>
      <c r="S81" s="31" t="s">
        <v>706</v>
      </c>
      <c r="T81" s="53" t="s">
        <v>1713</v>
      </c>
    </row>
    <row r="82" spans="1:20" ht="105" customHeight="1">
      <c r="A82" s="31">
        <v>45</v>
      </c>
      <c r="B82" s="31">
        <v>165</v>
      </c>
      <c r="C82" s="31" t="s">
        <v>336</v>
      </c>
      <c r="D82" s="31">
        <v>824</v>
      </c>
      <c r="E82" s="31" t="s">
        <v>222</v>
      </c>
      <c r="F82" s="32" t="s">
        <v>946</v>
      </c>
      <c r="G82" s="31">
        <v>1</v>
      </c>
      <c r="H82" s="31">
        <v>0</v>
      </c>
      <c r="I82" s="32" t="s">
        <v>939</v>
      </c>
      <c r="J82" s="32" t="s">
        <v>947</v>
      </c>
      <c r="K82" s="32" t="s">
        <v>945</v>
      </c>
      <c r="L82" s="32" t="s">
        <v>942</v>
      </c>
      <c r="M82" s="31">
        <v>115</v>
      </c>
      <c r="N82" s="31">
        <v>115</v>
      </c>
      <c r="O82" s="31" t="s">
        <v>769</v>
      </c>
      <c r="P82" s="31" t="s">
        <v>702</v>
      </c>
      <c r="Q82" s="31" t="s">
        <v>701</v>
      </c>
      <c r="R82" s="31"/>
      <c r="S82" s="31" t="s">
        <v>706</v>
      </c>
      <c r="T82" s="53" t="s">
        <v>1713</v>
      </c>
    </row>
    <row r="83" spans="1:20" ht="105" customHeight="1">
      <c r="A83" s="31">
        <v>46</v>
      </c>
      <c r="B83" s="31">
        <v>166</v>
      </c>
      <c r="C83" s="31" t="s">
        <v>339</v>
      </c>
      <c r="D83" s="31">
        <v>826</v>
      </c>
      <c r="E83" s="31" t="s">
        <v>67</v>
      </c>
      <c r="F83" s="32" t="s">
        <v>341</v>
      </c>
      <c r="G83" s="31">
        <v>1</v>
      </c>
      <c r="H83" s="31">
        <v>0</v>
      </c>
      <c r="I83" s="32" t="s">
        <v>948</v>
      </c>
      <c r="J83" s="32" t="s">
        <v>949</v>
      </c>
      <c r="K83" s="32" t="s">
        <v>950</v>
      </c>
      <c r="L83" s="32" t="s">
        <v>951</v>
      </c>
      <c r="M83" s="31">
        <v>0</v>
      </c>
      <c r="N83" s="31">
        <v>1</v>
      </c>
      <c r="O83" s="31" t="s">
        <v>726</v>
      </c>
      <c r="P83" s="31" t="s">
        <v>702</v>
      </c>
      <c r="Q83" s="31" t="s">
        <v>701</v>
      </c>
      <c r="R83" s="31"/>
      <c r="S83" s="31" t="s">
        <v>706</v>
      </c>
      <c r="T83" s="53" t="s">
        <v>1714</v>
      </c>
    </row>
    <row r="84" spans="1:20" ht="105" customHeight="1">
      <c r="A84" s="31">
        <v>47</v>
      </c>
      <c r="B84" s="31">
        <v>171</v>
      </c>
      <c r="C84" s="31" t="s">
        <v>342</v>
      </c>
      <c r="D84" s="31">
        <v>854</v>
      </c>
      <c r="E84" s="31" t="s">
        <v>226</v>
      </c>
      <c r="F84" s="32" t="s">
        <v>344</v>
      </c>
      <c r="G84" s="31">
        <v>1</v>
      </c>
      <c r="H84" s="31">
        <v>0</v>
      </c>
      <c r="I84" s="32" t="s">
        <v>952</v>
      </c>
      <c r="J84" s="32" t="s">
        <v>953</v>
      </c>
      <c r="K84" s="32" t="s">
        <v>954</v>
      </c>
      <c r="L84" s="32" t="s">
        <v>955</v>
      </c>
      <c r="M84" s="31">
        <v>6</v>
      </c>
      <c r="N84" s="31">
        <v>6</v>
      </c>
      <c r="O84" s="31" t="s">
        <v>769</v>
      </c>
      <c r="P84" s="31" t="s">
        <v>702</v>
      </c>
      <c r="Q84" s="31" t="s">
        <v>701</v>
      </c>
      <c r="R84" s="31"/>
      <c r="S84" s="31" t="s">
        <v>706</v>
      </c>
      <c r="T84" s="53" t="s">
        <v>1715</v>
      </c>
    </row>
    <row r="85" spans="1:20" ht="105" customHeight="1">
      <c r="A85" s="31">
        <v>48</v>
      </c>
      <c r="B85" s="31">
        <v>174</v>
      </c>
      <c r="C85" s="31" t="s">
        <v>345</v>
      </c>
      <c r="D85" s="31">
        <v>868</v>
      </c>
      <c r="E85" s="31" t="s">
        <v>328</v>
      </c>
      <c r="F85" s="32" t="s">
        <v>958</v>
      </c>
      <c r="G85" s="31">
        <v>1</v>
      </c>
      <c r="H85" s="31">
        <v>0</v>
      </c>
      <c r="I85" s="32" t="s">
        <v>956</v>
      </c>
      <c r="J85" s="32" t="s">
        <v>959</v>
      </c>
      <c r="K85" s="32"/>
      <c r="L85" s="32" t="s">
        <v>957</v>
      </c>
      <c r="M85" s="31">
        <v>0</v>
      </c>
      <c r="N85" s="31">
        <v>1</v>
      </c>
      <c r="O85" s="31" t="s">
        <v>726</v>
      </c>
      <c r="P85" s="31" t="s">
        <v>702</v>
      </c>
      <c r="Q85" s="31" t="s">
        <v>701</v>
      </c>
      <c r="R85" s="31"/>
      <c r="S85" s="31" t="s">
        <v>706</v>
      </c>
      <c r="T85" s="53" t="s">
        <v>1716</v>
      </c>
    </row>
    <row r="86" spans="1:20" ht="105" customHeight="1">
      <c r="A86" s="31">
        <v>49</v>
      </c>
      <c r="B86" s="31">
        <v>176</v>
      </c>
      <c r="C86" s="31" t="s">
        <v>348</v>
      </c>
      <c r="D86" s="31">
        <v>878</v>
      </c>
      <c r="E86" s="31" t="s">
        <v>350</v>
      </c>
      <c r="F86" s="32" t="s">
        <v>351</v>
      </c>
      <c r="G86" s="31">
        <v>1</v>
      </c>
      <c r="H86" s="31">
        <v>0</v>
      </c>
      <c r="I86" s="32" t="s">
        <v>960</v>
      </c>
      <c r="J86" s="32" t="s">
        <v>961</v>
      </c>
      <c r="K86" s="32" t="s">
        <v>962</v>
      </c>
      <c r="L86" s="32" t="s">
        <v>963</v>
      </c>
      <c r="M86" s="31">
        <v>9</v>
      </c>
      <c r="N86" s="31">
        <v>9</v>
      </c>
      <c r="O86" s="31" t="s">
        <v>700</v>
      </c>
      <c r="P86" s="31" t="s">
        <v>702</v>
      </c>
      <c r="Q86" s="31" t="s">
        <v>701</v>
      </c>
      <c r="R86" s="31"/>
      <c r="S86" s="31" t="s">
        <v>706</v>
      </c>
      <c r="T86" s="53" t="s">
        <v>1717</v>
      </c>
    </row>
    <row r="87" spans="1:20" ht="105" customHeight="1">
      <c r="A87" s="31">
        <v>50</v>
      </c>
      <c r="B87" s="31">
        <v>180</v>
      </c>
      <c r="C87" s="31" t="s">
        <v>352</v>
      </c>
      <c r="D87" s="31">
        <v>895</v>
      </c>
      <c r="E87" s="31" t="s">
        <v>88</v>
      </c>
      <c r="F87" s="32" t="s">
        <v>354</v>
      </c>
      <c r="G87" s="31">
        <v>1</v>
      </c>
      <c r="H87" s="31">
        <v>0</v>
      </c>
      <c r="I87" s="32" t="s">
        <v>964</v>
      </c>
      <c r="J87" s="32" t="s">
        <v>965</v>
      </c>
      <c r="K87" s="32" t="s">
        <v>966</v>
      </c>
      <c r="L87" s="32" t="s">
        <v>967</v>
      </c>
      <c r="M87" s="31">
        <v>1</v>
      </c>
      <c r="N87" s="31">
        <v>1</v>
      </c>
      <c r="O87" s="31" t="s">
        <v>762</v>
      </c>
      <c r="P87" s="31" t="s">
        <v>701</v>
      </c>
      <c r="Q87" s="31" t="s">
        <v>701</v>
      </c>
      <c r="R87" s="31"/>
      <c r="S87" s="31" t="s">
        <v>1720</v>
      </c>
      <c r="T87" s="53" t="s">
        <v>1719</v>
      </c>
    </row>
    <row r="88" spans="1:20" ht="105" customHeight="1">
      <c r="A88" s="31">
        <v>50</v>
      </c>
      <c r="B88" s="31">
        <v>180</v>
      </c>
      <c r="C88" s="31" t="s">
        <v>352</v>
      </c>
      <c r="D88" s="31">
        <v>897</v>
      </c>
      <c r="E88" s="31" t="s">
        <v>88</v>
      </c>
      <c r="F88" s="32" t="s">
        <v>968</v>
      </c>
      <c r="G88" s="31">
        <v>1</v>
      </c>
      <c r="H88" s="31">
        <v>0</v>
      </c>
      <c r="I88" s="32" t="s">
        <v>964</v>
      </c>
      <c r="J88" s="32" t="s">
        <v>965</v>
      </c>
      <c r="K88" s="32" t="s">
        <v>966</v>
      </c>
      <c r="L88" s="32" t="s">
        <v>967</v>
      </c>
      <c r="M88" s="31">
        <v>1</v>
      </c>
      <c r="N88" s="31">
        <v>1</v>
      </c>
      <c r="O88" s="31" t="s">
        <v>762</v>
      </c>
      <c r="P88" s="31" t="s">
        <v>701</v>
      </c>
      <c r="Q88" s="31" t="s">
        <v>701</v>
      </c>
      <c r="R88" s="31"/>
      <c r="S88" s="31" t="s">
        <v>1720</v>
      </c>
      <c r="T88" s="53" t="s">
        <v>1719</v>
      </c>
    </row>
    <row r="89" spans="1:20" ht="105" customHeight="1">
      <c r="A89" s="31">
        <v>50</v>
      </c>
      <c r="B89" s="31">
        <v>180</v>
      </c>
      <c r="C89" s="31" t="s">
        <v>352</v>
      </c>
      <c r="D89" s="31">
        <v>898</v>
      </c>
      <c r="E89" s="31" t="s">
        <v>88</v>
      </c>
      <c r="F89" s="32" t="s">
        <v>969</v>
      </c>
      <c r="G89" s="31">
        <v>1</v>
      </c>
      <c r="H89" s="31">
        <v>0</v>
      </c>
      <c r="I89" s="32" t="s">
        <v>964</v>
      </c>
      <c r="J89" s="32" t="s">
        <v>965</v>
      </c>
      <c r="K89" s="32" t="s">
        <v>966</v>
      </c>
      <c r="L89" s="32" t="s">
        <v>967</v>
      </c>
      <c r="M89" s="31">
        <v>1</v>
      </c>
      <c r="N89" s="31">
        <v>1</v>
      </c>
      <c r="O89" s="31" t="s">
        <v>762</v>
      </c>
      <c r="P89" s="31" t="s">
        <v>701</v>
      </c>
      <c r="Q89" s="31" t="s">
        <v>701</v>
      </c>
      <c r="R89" s="31"/>
      <c r="S89" s="31" t="s">
        <v>1720</v>
      </c>
      <c r="T89" s="53" t="s">
        <v>1719</v>
      </c>
    </row>
    <row r="90" spans="1:20" ht="105" customHeight="1">
      <c r="A90" s="31">
        <v>50</v>
      </c>
      <c r="B90" s="31">
        <v>180</v>
      </c>
      <c r="C90" s="31" t="s">
        <v>352</v>
      </c>
      <c r="D90" s="31">
        <v>899</v>
      </c>
      <c r="E90" s="31" t="s">
        <v>88</v>
      </c>
      <c r="F90" s="32" t="s">
        <v>970</v>
      </c>
      <c r="G90" s="31">
        <v>1</v>
      </c>
      <c r="H90" s="31">
        <v>0</v>
      </c>
      <c r="I90" s="32" t="s">
        <v>964</v>
      </c>
      <c r="J90" s="32" t="s">
        <v>965</v>
      </c>
      <c r="K90" s="32" t="s">
        <v>966</v>
      </c>
      <c r="L90" s="32" t="s">
        <v>967</v>
      </c>
      <c r="M90" s="31">
        <v>1</v>
      </c>
      <c r="N90" s="31">
        <v>1</v>
      </c>
      <c r="O90" s="31" t="s">
        <v>762</v>
      </c>
      <c r="P90" s="31" t="s">
        <v>701</v>
      </c>
      <c r="Q90" s="31" t="s">
        <v>701</v>
      </c>
      <c r="R90" s="31"/>
      <c r="S90" s="31" t="s">
        <v>1720</v>
      </c>
      <c r="T90" s="53" t="s">
        <v>1719</v>
      </c>
    </row>
    <row r="91" spans="1:20" ht="105" customHeight="1">
      <c r="A91" s="31">
        <v>51</v>
      </c>
      <c r="B91" s="31">
        <v>186</v>
      </c>
      <c r="C91" s="31" t="s">
        <v>355</v>
      </c>
      <c r="D91" s="31">
        <v>929</v>
      </c>
      <c r="E91" s="31" t="s">
        <v>236</v>
      </c>
      <c r="F91" s="32" t="s">
        <v>357</v>
      </c>
      <c r="G91" s="31">
        <v>1</v>
      </c>
      <c r="H91" s="31">
        <v>0</v>
      </c>
      <c r="I91" s="32" t="s">
        <v>971</v>
      </c>
      <c r="J91" s="32" t="s">
        <v>972</v>
      </c>
      <c r="K91" s="32" t="s">
        <v>973</v>
      </c>
      <c r="L91" s="32" t="s">
        <v>974</v>
      </c>
      <c r="M91" s="31">
        <v>3</v>
      </c>
      <c r="N91" s="31">
        <v>1</v>
      </c>
      <c r="O91" s="31" t="s">
        <v>762</v>
      </c>
      <c r="P91" s="31" t="s">
        <v>702</v>
      </c>
      <c r="Q91" s="31" t="s">
        <v>701</v>
      </c>
      <c r="R91" s="31"/>
      <c r="S91" s="31" t="s">
        <v>706</v>
      </c>
      <c r="T91" s="53" t="s">
        <v>1721</v>
      </c>
    </row>
    <row r="92" spans="1:20" ht="105" customHeight="1">
      <c r="A92" s="31">
        <v>52</v>
      </c>
      <c r="B92" s="31">
        <v>190</v>
      </c>
      <c r="C92" s="31" t="s">
        <v>358</v>
      </c>
      <c r="D92" s="31">
        <v>949</v>
      </c>
      <c r="E92" s="31" t="s">
        <v>360</v>
      </c>
      <c r="F92" s="32" t="s">
        <v>361</v>
      </c>
      <c r="G92" s="31">
        <v>1</v>
      </c>
      <c r="H92" s="31">
        <v>0</v>
      </c>
      <c r="I92" s="32" t="s">
        <v>975</v>
      </c>
      <c r="J92" s="32" t="s">
        <v>976</v>
      </c>
      <c r="K92" s="32" t="s">
        <v>977</v>
      </c>
      <c r="L92" s="32" t="s">
        <v>978</v>
      </c>
      <c r="M92" s="31">
        <v>7</v>
      </c>
      <c r="N92" s="31">
        <v>0</v>
      </c>
      <c r="O92" s="31" t="s">
        <v>979</v>
      </c>
      <c r="P92" s="31" t="s">
        <v>702</v>
      </c>
      <c r="Q92" s="31" t="s">
        <v>701</v>
      </c>
      <c r="R92" s="31"/>
      <c r="S92" s="31" t="s">
        <v>706</v>
      </c>
      <c r="T92" s="53" t="s">
        <v>1723</v>
      </c>
    </row>
    <row r="93" spans="1:20" ht="105" customHeight="1">
      <c r="A93" s="31">
        <v>53</v>
      </c>
      <c r="B93" s="31">
        <v>191</v>
      </c>
      <c r="C93" s="31" t="s">
        <v>362</v>
      </c>
      <c r="D93" s="31">
        <v>953</v>
      </c>
      <c r="E93" s="31" t="s">
        <v>222</v>
      </c>
      <c r="F93" s="32" t="s">
        <v>364</v>
      </c>
      <c r="G93" s="31">
        <v>1</v>
      </c>
      <c r="H93" s="31">
        <v>0</v>
      </c>
      <c r="I93" s="32" t="s">
        <v>980</v>
      </c>
      <c r="J93" s="32" t="s">
        <v>981</v>
      </c>
      <c r="K93" s="32" t="s">
        <v>982</v>
      </c>
      <c r="L93" s="32" t="s">
        <v>983</v>
      </c>
      <c r="M93" s="31">
        <v>0</v>
      </c>
      <c r="N93" s="31">
        <v>14</v>
      </c>
      <c r="O93" s="31" t="s">
        <v>726</v>
      </c>
      <c r="P93" s="31" t="s">
        <v>702</v>
      </c>
      <c r="Q93" s="31" t="s">
        <v>701</v>
      </c>
      <c r="R93" s="31"/>
      <c r="S93" s="31" t="s">
        <v>706</v>
      </c>
      <c r="T93" s="53" t="s">
        <v>1725</v>
      </c>
    </row>
    <row r="94" spans="1:20" ht="105" customHeight="1">
      <c r="A94" s="31">
        <v>53</v>
      </c>
      <c r="B94" s="31">
        <v>191</v>
      </c>
      <c r="C94" s="31" t="s">
        <v>362</v>
      </c>
      <c r="D94" s="31">
        <v>954</v>
      </c>
      <c r="E94" s="31" t="s">
        <v>222</v>
      </c>
      <c r="F94" s="32" t="s">
        <v>984</v>
      </c>
      <c r="G94" s="31">
        <v>1</v>
      </c>
      <c r="H94" s="31">
        <v>0</v>
      </c>
      <c r="I94" s="32" t="s">
        <v>980</v>
      </c>
      <c r="J94" s="32" t="s">
        <v>985</v>
      </c>
      <c r="K94" s="32" t="s">
        <v>986</v>
      </c>
      <c r="L94" s="32" t="s">
        <v>983</v>
      </c>
      <c r="M94" s="31">
        <v>14</v>
      </c>
      <c r="N94" s="31">
        <v>14</v>
      </c>
      <c r="O94" s="31" t="s">
        <v>721</v>
      </c>
      <c r="P94" s="31" t="s">
        <v>702</v>
      </c>
      <c r="Q94" s="31" t="s">
        <v>701</v>
      </c>
      <c r="R94" s="31"/>
      <c r="S94" s="31" t="s">
        <v>706</v>
      </c>
      <c r="T94" s="53" t="s">
        <v>1725</v>
      </c>
    </row>
    <row r="95" spans="1:20" ht="105" customHeight="1">
      <c r="A95" s="31">
        <v>54</v>
      </c>
      <c r="B95" s="31">
        <v>192</v>
      </c>
      <c r="C95" s="31" t="s">
        <v>59</v>
      </c>
      <c r="D95" s="31">
        <v>955</v>
      </c>
      <c r="E95" s="31" t="s">
        <v>46</v>
      </c>
      <c r="F95" s="32" t="s">
        <v>132</v>
      </c>
      <c r="G95" s="31">
        <v>0</v>
      </c>
      <c r="H95" s="31">
        <v>0</v>
      </c>
      <c r="I95" s="32" t="s">
        <v>133</v>
      </c>
      <c r="J95" s="32" t="s">
        <v>987</v>
      </c>
      <c r="K95" s="32" t="s">
        <v>988</v>
      </c>
      <c r="L95" s="32" t="s">
        <v>134</v>
      </c>
      <c r="M95" s="31">
        <v>294</v>
      </c>
      <c r="N95" s="31">
        <v>294</v>
      </c>
      <c r="O95" s="31" t="s">
        <v>796</v>
      </c>
      <c r="P95" s="31" t="s">
        <v>701</v>
      </c>
      <c r="Q95" s="31" t="s">
        <v>701</v>
      </c>
      <c r="R95" s="31" t="s">
        <v>24</v>
      </c>
      <c r="S95" s="53" t="s">
        <v>1684</v>
      </c>
      <c r="T95" s="53" t="s">
        <v>1727</v>
      </c>
    </row>
    <row r="96" spans="1:20" ht="105" customHeight="1">
      <c r="A96" s="31">
        <v>54</v>
      </c>
      <c r="B96" s="31">
        <v>192</v>
      </c>
      <c r="C96" s="31" t="s">
        <v>59</v>
      </c>
      <c r="D96" s="31">
        <v>956</v>
      </c>
      <c r="E96" s="31" t="s">
        <v>46</v>
      </c>
      <c r="F96" s="32" t="s">
        <v>989</v>
      </c>
      <c r="G96" s="31">
        <v>0</v>
      </c>
      <c r="H96" s="31">
        <v>0</v>
      </c>
      <c r="I96" s="32" t="s">
        <v>133</v>
      </c>
      <c r="J96" s="32" t="s">
        <v>990</v>
      </c>
      <c r="K96" s="32" t="s">
        <v>991</v>
      </c>
      <c r="L96" s="32" t="s">
        <v>134</v>
      </c>
      <c r="M96" s="31">
        <v>500</v>
      </c>
      <c r="N96" s="31">
        <v>294</v>
      </c>
      <c r="O96" s="31" t="s">
        <v>714</v>
      </c>
      <c r="P96" s="31" t="s">
        <v>701</v>
      </c>
      <c r="Q96" s="31" t="s">
        <v>701</v>
      </c>
      <c r="R96" s="31" t="s">
        <v>24</v>
      </c>
      <c r="S96" s="53" t="s">
        <v>1684</v>
      </c>
      <c r="T96" s="53" t="s">
        <v>1727</v>
      </c>
    </row>
    <row r="97" spans="1:20" ht="105" customHeight="1">
      <c r="A97" s="31">
        <v>54</v>
      </c>
      <c r="B97" s="31">
        <v>192</v>
      </c>
      <c r="C97" s="31" t="s">
        <v>59</v>
      </c>
      <c r="D97" s="31">
        <v>957</v>
      </c>
      <c r="E97" s="31" t="s">
        <v>46</v>
      </c>
      <c r="F97" s="32" t="s">
        <v>992</v>
      </c>
      <c r="G97" s="31">
        <v>0</v>
      </c>
      <c r="H97" s="31">
        <v>0</v>
      </c>
      <c r="I97" s="32" t="s">
        <v>133</v>
      </c>
      <c r="J97" s="32" t="s">
        <v>993</v>
      </c>
      <c r="K97" s="32" t="s">
        <v>988</v>
      </c>
      <c r="L97" s="32" t="s">
        <v>134</v>
      </c>
      <c r="M97" s="31">
        <v>294</v>
      </c>
      <c r="N97" s="31">
        <v>294</v>
      </c>
      <c r="O97" s="31" t="s">
        <v>796</v>
      </c>
      <c r="P97" s="31" t="s">
        <v>701</v>
      </c>
      <c r="Q97" s="31" t="s">
        <v>701</v>
      </c>
      <c r="R97" s="31" t="s">
        <v>24</v>
      </c>
      <c r="S97" s="53" t="s">
        <v>1684</v>
      </c>
      <c r="T97" s="53" t="s">
        <v>1727</v>
      </c>
    </row>
    <row r="98" spans="1:20" ht="105" customHeight="1">
      <c r="A98" s="31">
        <v>54</v>
      </c>
      <c r="B98" s="31">
        <v>192</v>
      </c>
      <c r="C98" s="31" t="s">
        <v>59</v>
      </c>
      <c r="D98" s="31">
        <v>958</v>
      </c>
      <c r="E98" s="31" t="s">
        <v>46</v>
      </c>
      <c r="F98" s="32" t="s">
        <v>994</v>
      </c>
      <c r="G98" s="31">
        <v>0</v>
      </c>
      <c r="H98" s="31">
        <v>0</v>
      </c>
      <c r="I98" s="32" t="s">
        <v>133</v>
      </c>
      <c r="J98" s="32" t="s">
        <v>995</v>
      </c>
      <c r="K98" s="32" t="s">
        <v>991</v>
      </c>
      <c r="L98" s="32" t="s">
        <v>134</v>
      </c>
      <c r="M98" s="31">
        <v>500</v>
      </c>
      <c r="N98" s="31">
        <v>294</v>
      </c>
      <c r="O98" s="31" t="s">
        <v>714</v>
      </c>
      <c r="P98" s="31" t="s">
        <v>701</v>
      </c>
      <c r="Q98" s="31" t="s">
        <v>701</v>
      </c>
      <c r="R98" s="31" t="s">
        <v>24</v>
      </c>
      <c r="S98" s="53" t="s">
        <v>1684</v>
      </c>
      <c r="T98" s="53" t="s">
        <v>1727</v>
      </c>
    </row>
    <row r="99" spans="1:20" ht="105" customHeight="1">
      <c r="A99" s="31">
        <v>54</v>
      </c>
      <c r="B99" s="31">
        <v>192</v>
      </c>
      <c r="C99" s="31" t="s">
        <v>59</v>
      </c>
      <c r="D99" s="31">
        <v>959</v>
      </c>
      <c r="E99" s="31" t="s">
        <v>46</v>
      </c>
      <c r="F99" s="32" t="s">
        <v>996</v>
      </c>
      <c r="G99" s="31">
        <v>0</v>
      </c>
      <c r="H99" s="31">
        <v>0</v>
      </c>
      <c r="I99" s="32" t="s">
        <v>133</v>
      </c>
      <c r="J99" s="32" t="s">
        <v>993</v>
      </c>
      <c r="K99" s="32" t="s">
        <v>988</v>
      </c>
      <c r="L99" s="32" t="s">
        <v>134</v>
      </c>
      <c r="M99" s="31">
        <v>294</v>
      </c>
      <c r="N99" s="31">
        <v>294</v>
      </c>
      <c r="O99" s="31" t="s">
        <v>796</v>
      </c>
      <c r="P99" s="31" t="s">
        <v>701</v>
      </c>
      <c r="Q99" s="31" t="s">
        <v>701</v>
      </c>
      <c r="R99" s="31" t="s">
        <v>24</v>
      </c>
      <c r="S99" s="53" t="s">
        <v>1684</v>
      </c>
      <c r="T99" s="53" t="s">
        <v>1727</v>
      </c>
    </row>
    <row r="100" spans="1:20" ht="105" customHeight="1">
      <c r="A100" s="31">
        <v>55</v>
      </c>
      <c r="B100" s="31">
        <v>193</v>
      </c>
      <c r="C100" s="31" t="s">
        <v>366</v>
      </c>
      <c r="D100" s="31">
        <v>962</v>
      </c>
      <c r="E100" s="31" t="s">
        <v>67</v>
      </c>
      <c r="F100" s="32" t="s">
        <v>368</v>
      </c>
      <c r="G100" s="31">
        <v>1</v>
      </c>
      <c r="H100" s="31">
        <v>0</v>
      </c>
      <c r="I100" s="32" t="s">
        <v>997</v>
      </c>
      <c r="J100" s="32" t="s">
        <v>998</v>
      </c>
      <c r="K100" s="32" t="s">
        <v>999</v>
      </c>
      <c r="L100" s="32" t="s">
        <v>1000</v>
      </c>
      <c r="M100" s="31">
        <v>0</v>
      </c>
      <c r="N100" s="31">
        <v>1</v>
      </c>
      <c r="O100" s="31" t="s">
        <v>726</v>
      </c>
      <c r="P100" s="31" t="s">
        <v>702</v>
      </c>
      <c r="Q100" s="31" t="s">
        <v>701</v>
      </c>
      <c r="R100" s="31"/>
      <c r="S100" s="31" t="s">
        <v>706</v>
      </c>
      <c r="T100" s="53" t="s">
        <v>1728</v>
      </c>
    </row>
    <row r="101" spans="1:20" ht="105" customHeight="1">
      <c r="A101" s="31">
        <v>56</v>
      </c>
      <c r="B101" s="31">
        <v>196</v>
      </c>
      <c r="C101" s="31" t="s">
        <v>369</v>
      </c>
      <c r="D101" s="31">
        <v>978</v>
      </c>
      <c r="E101" s="31" t="s">
        <v>226</v>
      </c>
      <c r="F101" s="32" t="s">
        <v>371</v>
      </c>
      <c r="G101" s="31">
        <v>1</v>
      </c>
      <c r="H101" s="31">
        <v>0</v>
      </c>
      <c r="I101" s="32" t="s">
        <v>1001</v>
      </c>
      <c r="J101" s="32" t="s">
        <v>1002</v>
      </c>
      <c r="K101" s="32" t="s">
        <v>1003</v>
      </c>
      <c r="L101" s="32" t="s">
        <v>1004</v>
      </c>
      <c r="M101" s="31">
        <v>6</v>
      </c>
      <c r="N101" s="31">
        <v>6</v>
      </c>
      <c r="O101" s="31" t="s">
        <v>769</v>
      </c>
      <c r="P101" s="31" t="s">
        <v>702</v>
      </c>
      <c r="Q101" s="31" t="s">
        <v>701</v>
      </c>
      <c r="R101" s="31"/>
      <c r="S101" s="31" t="s">
        <v>706</v>
      </c>
      <c r="T101" s="53" t="s">
        <v>1729</v>
      </c>
    </row>
    <row r="102" spans="1:20" ht="105" customHeight="1">
      <c r="A102" s="31">
        <v>56</v>
      </c>
      <c r="B102" s="31">
        <v>196</v>
      </c>
      <c r="C102" s="31" t="s">
        <v>369</v>
      </c>
      <c r="D102" s="31">
        <v>979</v>
      </c>
      <c r="E102" s="31" t="s">
        <v>226</v>
      </c>
      <c r="F102" s="32" t="s">
        <v>1005</v>
      </c>
      <c r="G102" s="31">
        <v>1</v>
      </c>
      <c r="H102" s="31">
        <v>0</v>
      </c>
      <c r="I102" s="32" t="s">
        <v>1001</v>
      </c>
      <c r="J102" s="32" t="s">
        <v>1006</v>
      </c>
      <c r="K102" s="32" t="s">
        <v>1007</v>
      </c>
      <c r="L102" s="32" t="s">
        <v>1004</v>
      </c>
      <c r="M102" s="31">
        <v>6</v>
      </c>
      <c r="N102" s="31">
        <v>6</v>
      </c>
      <c r="O102" s="31" t="s">
        <v>769</v>
      </c>
      <c r="P102" s="31" t="s">
        <v>702</v>
      </c>
      <c r="Q102" s="31" t="s">
        <v>701</v>
      </c>
      <c r="R102" s="31"/>
      <c r="S102" s="31" t="s">
        <v>706</v>
      </c>
      <c r="T102" s="53" t="s">
        <v>1729</v>
      </c>
    </row>
    <row r="103" spans="1:20" ht="105" customHeight="1">
      <c r="A103" s="31">
        <v>57</v>
      </c>
      <c r="B103" s="31">
        <v>197</v>
      </c>
      <c r="C103" s="31" t="s">
        <v>372</v>
      </c>
      <c r="D103" s="31">
        <v>983</v>
      </c>
      <c r="E103" s="31" t="s">
        <v>96</v>
      </c>
      <c r="F103" s="32" t="s">
        <v>374</v>
      </c>
      <c r="G103" s="31">
        <v>1</v>
      </c>
      <c r="H103" s="31">
        <v>0</v>
      </c>
      <c r="I103" s="32" t="s">
        <v>1008</v>
      </c>
      <c r="J103" s="32" t="s">
        <v>1009</v>
      </c>
      <c r="K103" s="32" t="s">
        <v>1010</v>
      </c>
      <c r="L103" s="32" t="s">
        <v>1011</v>
      </c>
      <c r="M103" s="31">
        <v>3</v>
      </c>
      <c r="N103" s="31">
        <v>3</v>
      </c>
      <c r="O103" s="31" t="s">
        <v>769</v>
      </c>
      <c r="P103" s="31" t="s">
        <v>702</v>
      </c>
      <c r="Q103" s="31" t="s">
        <v>701</v>
      </c>
      <c r="R103" s="31"/>
      <c r="S103" s="31" t="s">
        <v>706</v>
      </c>
      <c r="T103" s="53" t="s">
        <v>1730</v>
      </c>
    </row>
    <row r="104" spans="1:20" ht="105" customHeight="1">
      <c r="A104" s="31">
        <v>57</v>
      </c>
      <c r="B104" s="31">
        <v>197</v>
      </c>
      <c r="C104" s="31" t="s">
        <v>372</v>
      </c>
      <c r="D104" s="31">
        <v>984</v>
      </c>
      <c r="E104" s="31" t="s">
        <v>96</v>
      </c>
      <c r="F104" s="32" t="s">
        <v>1012</v>
      </c>
      <c r="G104" s="31">
        <v>1</v>
      </c>
      <c r="H104" s="31">
        <v>0</v>
      </c>
      <c r="I104" s="32" t="s">
        <v>1008</v>
      </c>
      <c r="J104" s="32" t="s">
        <v>1013</v>
      </c>
      <c r="K104" s="32" t="s">
        <v>1010</v>
      </c>
      <c r="L104" s="32" t="s">
        <v>1011</v>
      </c>
      <c r="M104" s="31">
        <v>3</v>
      </c>
      <c r="N104" s="31">
        <v>3</v>
      </c>
      <c r="O104" s="31" t="s">
        <v>769</v>
      </c>
      <c r="P104" s="31" t="s">
        <v>702</v>
      </c>
      <c r="Q104" s="31" t="s">
        <v>701</v>
      </c>
      <c r="R104" s="31"/>
      <c r="S104" s="31" t="s">
        <v>706</v>
      </c>
      <c r="T104" s="53" t="s">
        <v>1730</v>
      </c>
    </row>
    <row r="105" spans="1:20" ht="105" customHeight="1">
      <c r="A105" s="31">
        <v>58</v>
      </c>
      <c r="B105" s="31">
        <v>200</v>
      </c>
      <c r="C105" s="31" t="s">
        <v>62</v>
      </c>
      <c r="D105" s="31">
        <v>995</v>
      </c>
      <c r="E105" s="31" t="s">
        <v>63</v>
      </c>
      <c r="F105" s="32" t="s">
        <v>135</v>
      </c>
      <c r="G105" s="31">
        <v>0</v>
      </c>
      <c r="H105" s="31">
        <v>0</v>
      </c>
      <c r="I105" s="32" t="s">
        <v>136</v>
      </c>
      <c r="J105" s="32" t="s">
        <v>136</v>
      </c>
      <c r="K105" s="32" t="s">
        <v>1014</v>
      </c>
      <c r="L105" s="32" t="s">
        <v>137</v>
      </c>
      <c r="M105" s="31">
        <v>5</v>
      </c>
      <c r="N105" s="31">
        <v>5</v>
      </c>
      <c r="O105" s="31" t="s">
        <v>714</v>
      </c>
      <c r="P105" s="31" t="s">
        <v>701</v>
      </c>
      <c r="Q105" s="31" t="s">
        <v>701</v>
      </c>
      <c r="R105" s="31" t="s">
        <v>23</v>
      </c>
      <c r="S105" s="53" t="s">
        <v>1684</v>
      </c>
      <c r="T105" s="53" t="s">
        <v>1732</v>
      </c>
    </row>
    <row r="106" spans="1:20" ht="105" customHeight="1">
      <c r="A106" s="31">
        <v>58</v>
      </c>
      <c r="B106" s="31">
        <v>200</v>
      </c>
      <c r="C106" s="31" t="s">
        <v>62</v>
      </c>
      <c r="D106" s="31">
        <v>996</v>
      </c>
      <c r="E106" s="31" t="s">
        <v>63</v>
      </c>
      <c r="F106" s="32" t="s">
        <v>1015</v>
      </c>
      <c r="G106" s="31">
        <v>0</v>
      </c>
      <c r="H106" s="31">
        <v>0</v>
      </c>
      <c r="I106" s="32" t="s">
        <v>136</v>
      </c>
      <c r="J106" s="32" t="s">
        <v>136</v>
      </c>
      <c r="K106" s="32" t="s">
        <v>1014</v>
      </c>
      <c r="L106" s="32" t="s">
        <v>137</v>
      </c>
      <c r="M106" s="31">
        <v>5</v>
      </c>
      <c r="N106" s="31">
        <v>5</v>
      </c>
      <c r="O106" s="31" t="s">
        <v>714</v>
      </c>
      <c r="P106" s="31" t="s">
        <v>701</v>
      </c>
      <c r="Q106" s="31" t="s">
        <v>701</v>
      </c>
      <c r="R106" s="31" t="s">
        <v>23</v>
      </c>
      <c r="S106" s="53" t="s">
        <v>1684</v>
      </c>
      <c r="T106" s="53" t="s">
        <v>1732</v>
      </c>
    </row>
    <row r="107" spans="1:20" ht="105" customHeight="1">
      <c r="A107" s="31">
        <v>58</v>
      </c>
      <c r="B107" s="31">
        <v>200</v>
      </c>
      <c r="C107" s="31" t="s">
        <v>62</v>
      </c>
      <c r="D107" s="31">
        <v>997</v>
      </c>
      <c r="E107" s="31" t="s">
        <v>63</v>
      </c>
      <c r="F107" s="32" t="s">
        <v>1016</v>
      </c>
      <c r="G107" s="31">
        <v>0</v>
      </c>
      <c r="H107" s="31">
        <v>0</v>
      </c>
      <c r="I107" s="32" t="s">
        <v>136</v>
      </c>
      <c r="J107" s="32" t="s">
        <v>136</v>
      </c>
      <c r="K107" s="32" t="s">
        <v>1014</v>
      </c>
      <c r="L107" s="32" t="s">
        <v>137</v>
      </c>
      <c r="M107" s="31">
        <v>5</v>
      </c>
      <c r="N107" s="31">
        <v>5</v>
      </c>
      <c r="O107" s="31" t="s">
        <v>714</v>
      </c>
      <c r="P107" s="31" t="s">
        <v>701</v>
      </c>
      <c r="Q107" s="31" t="s">
        <v>701</v>
      </c>
      <c r="R107" s="31" t="s">
        <v>23</v>
      </c>
      <c r="S107" s="53" t="s">
        <v>1684</v>
      </c>
      <c r="T107" s="53" t="s">
        <v>1732</v>
      </c>
    </row>
    <row r="108" spans="1:20" ht="105" customHeight="1">
      <c r="A108" s="31">
        <v>58</v>
      </c>
      <c r="B108" s="31">
        <v>200</v>
      </c>
      <c r="C108" s="31" t="s">
        <v>62</v>
      </c>
      <c r="D108" s="31">
        <v>998</v>
      </c>
      <c r="E108" s="31" t="s">
        <v>63</v>
      </c>
      <c r="F108" s="32" t="s">
        <v>1017</v>
      </c>
      <c r="G108" s="31">
        <v>0</v>
      </c>
      <c r="H108" s="31">
        <v>0</v>
      </c>
      <c r="I108" s="32" t="s">
        <v>136</v>
      </c>
      <c r="J108" s="32" t="s">
        <v>136</v>
      </c>
      <c r="K108" s="32" t="s">
        <v>1014</v>
      </c>
      <c r="L108" s="32" t="s">
        <v>137</v>
      </c>
      <c r="M108" s="31">
        <v>5</v>
      </c>
      <c r="N108" s="31">
        <v>5</v>
      </c>
      <c r="O108" s="31" t="s">
        <v>714</v>
      </c>
      <c r="P108" s="31" t="s">
        <v>701</v>
      </c>
      <c r="Q108" s="31" t="s">
        <v>701</v>
      </c>
      <c r="R108" s="31" t="s">
        <v>23</v>
      </c>
      <c r="S108" s="53" t="s">
        <v>1684</v>
      </c>
      <c r="T108" s="53" t="s">
        <v>1732</v>
      </c>
    </row>
    <row r="109" spans="1:20" ht="105" customHeight="1">
      <c r="A109" s="31">
        <v>58</v>
      </c>
      <c r="B109" s="31">
        <v>200</v>
      </c>
      <c r="C109" s="31" t="s">
        <v>62</v>
      </c>
      <c r="D109" s="31">
        <v>999</v>
      </c>
      <c r="E109" s="31" t="s">
        <v>63</v>
      </c>
      <c r="F109" s="32" t="s">
        <v>1018</v>
      </c>
      <c r="G109" s="31">
        <v>0</v>
      </c>
      <c r="H109" s="31">
        <v>0</v>
      </c>
      <c r="I109" s="32" t="s">
        <v>136</v>
      </c>
      <c r="J109" s="32" t="s">
        <v>136</v>
      </c>
      <c r="K109" s="32" t="s">
        <v>1014</v>
      </c>
      <c r="L109" s="32" t="s">
        <v>137</v>
      </c>
      <c r="M109" s="31">
        <v>5</v>
      </c>
      <c r="N109" s="31">
        <v>5</v>
      </c>
      <c r="O109" s="31" t="s">
        <v>714</v>
      </c>
      <c r="P109" s="31" t="s">
        <v>701</v>
      </c>
      <c r="Q109" s="31" t="s">
        <v>701</v>
      </c>
      <c r="R109" s="31" t="s">
        <v>23</v>
      </c>
      <c r="S109" s="53" t="s">
        <v>1684</v>
      </c>
      <c r="T109" s="53" t="s">
        <v>1732</v>
      </c>
    </row>
    <row r="110" spans="1:20" ht="105" customHeight="1">
      <c r="A110" s="31">
        <v>59</v>
      </c>
      <c r="B110" s="31">
        <v>206</v>
      </c>
      <c r="C110" s="31" t="s">
        <v>376</v>
      </c>
      <c r="D110" s="31">
        <v>1026</v>
      </c>
      <c r="E110" s="31" t="s">
        <v>208</v>
      </c>
      <c r="F110" s="32" t="s">
        <v>378</v>
      </c>
      <c r="G110" s="31">
        <v>1</v>
      </c>
      <c r="H110" s="31">
        <v>0</v>
      </c>
      <c r="I110" s="32" t="s">
        <v>1019</v>
      </c>
      <c r="J110" s="32" t="s">
        <v>1020</v>
      </c>
      <c r="K110" s="32" t="s">
        <v>1021</v>
      </c>
      <c r="L110" s="32" t="s">
        <v>1022</v>
      </c>
      <c r="M110" s="31">
        <v>0</v>
      </c>
      <c r="N110" s="31">
        <v>2</v>
      </c>
      <c r="O110" s="31" t="s">
        <v>726</v>
      </c>
      <c r="P110" s="31" t="s">
        <v>702</v>
      </c>
      <c r="Q110" s="31" t="s">
        <v>701</v>
      </c>
      <c r="R110" s="31"/>
      <c r="S110" s="31" t="s">
        <v>706</v>
      </c>
      <c r="T110" s="53" t="s">
        <v>1733</v>
      </c>
    </row>
    <row r="111" spans="1:20" ht="105" customHeight="1">
      <c r="A111" s="31">
        <v>60</v>
      </c>
      <c r="B111" s="31">
        <v>208</v>
      </c>
      <c r="C111" s="31" t="s">
        <v>379</v>
      </c>
      <c r="D111" s="31">
        <v>1035</v>
      </c>
      <c r="E111" s="31" t="s">
        <v>273</v>
      </c>
      <c r="F111" s="32" t="s">
        <v>381</v>
      </c>
      <c r="G111" s="31">
        <v>1</v>
      </c>
      <c r="H111" s="31">
        <v>0</v>
      </c>
      <c r="I111" s="32" t="s">
        <v>1023</v>
      </c>
      <c r="J111" s="32" t="s">
        <v>1024</v>
      </c>
      <c r="K111" s="32" t="s">
        <v>1025</v>
      </c>
      <c r="L111" s="32" t="s">
        <v>1026</v>
      </c>
      <c r="M111" s="31">
        <v>8</v>
      </c>
      <c r="N111" s="31">
        <v>5</v>
      </c>
      <c r="O111" s="31" t="s">
        <v>700</v>
      </c>
      <c r="P111" s="31" t="s">
        <v>702</v>
      </c>
      <c r="Q111" s="31" t="s">
        <v>701</v>
      </c>
      <c r="R111" s="31"/>
      <c r="S111" s="31" t="s">
        <v>706</v>
      </c>
      <c r="T111" s="53" t="s">
        <v>1734</v>
      </c>
    </row>
    <row r="112" spans="1:20" ht="105" customHeight="1">
      <c r="A112" s="31">
        <v>60</v>
      </c>
      <c r="B112" s="31">
        <v>208</v>
      </c>
      <c r="C112" s="31" t="s">
        <v>379</v>
      </c>
      <c r="D112" s="31">
        <v>1036</v>
      </c>
      <c r="E112" s="31" t="s">
        <v>273</v>
      </c>
      <c r="F112" s="32" t="s">
        <v>1027</v>
      </c>
      <c r="G112" s="31">
        <v>1</v>
      </c>
      <c r="H112" s="31">
        <v>0</v>
      </c>
      <c r="I112" s="32" t="s">
        <v>1023</v>
      </c>
      <c r="J112" s="32" t="s">
        <v>1028</v>
      </c>
      <c r="K112" s="32" t="s">
        <v>1029</v>
      </c>
      <c r="L112" s="32" t="s">
        <v>1026</v>
      </c>
      <c r="M112" s="31">
        <v>8</v>
      </c>
      <c r="N112" s="31">
        <v>5</v>
      </c>
      <c r="O112" s="31" t="s">
        <v>714</v>
      </c>
      <c r="P112" s="31" t="s">
        <v>702</v>
      </c>
      <c r="Q112" s="31" t="s">
        <v>701</v>
      </c>
      <c r="R112" s="31"/>
      <c r="S112" s="31" t="s">
        <v>706</v>
      </c>
      <c r="T112" s="53" t="s">
        <v>1734</v>
      </c>
    </row>
    <row r="113" spans="1:20" ht="105" customHeight="1">
      <c r="A113" s="31">
        <v>60</v>
      </c>
      <c r="B113" s="31">
        <v>208</v>
      </c>
      <c r="C113" s="31" t="s">
        <v>379</v>
      </c>
      <c r="D113" s="31">
        <v>1037</v>
      </c>
      <c r="E113" s="31" t="s">
        <v>273</v>
      </c>
      <c r="F113" s="32" t="s">
        <v>1030</v>
      </c>
      <c r="G113" s="31">
        <v>1</v>
      </c>
      <c r="H113" s="31">
        <v>0</v>
      </c>
      <c r="I113" s="32" t="s">
        <v>1023</v>
      </c>
      <c r="J113" s="32" t="s">
        <v>1031</v>
      </c>
      <c r="K113" s="32" t="s">
        <v>1025</v>
      </c>
      <c r="L113" s="32" t="s">
        <v>1026</v>
      </c>
      <c r="M113" s="31">
        <v>8</v>
      </c>
      <c r="N113" s="31">
        <v>5</v>
      </c>
      <c r="O113" s="31" t="s">
        <v>700</v>
      </c>
      <c r="P113" s="31" t="s">
        <v>702</v>
      </c>
      <c r="Q113" s="31" t="s">
        <v>701</v>
      </c>
      <c r="R113" s="31"/>
      <c r="S113" s="31" t="s">
        <v>706</v>
      </c>
      <c r="T113" s="53" t="s">
        <v>1734</v>
      </c>
    </row>
    <row r="114" spans="1:20" ht="105" customHeight="1">
      <c r="A114" s="31">
        <v>60</v>
      </c>
      <c r="B114" s="31">
        <v>208</v>
      </c>
      <c r="C114" s="31" t="s">
        <v>379</v>
      </c>
      <c r="D114" s="31">
        <v>1038</v>
      </c>
      <c r="E114" s="31" t="s">
        <v>273</v>
      </c>
      <c r="F114" s="32" t="s">
        <v>1032</v>
      </c>
      <c r="G114" s="31">
        <v>1</v>
      </c>
      <c r="H114" s="31">
        <v>0</v>
      </c>
      <c r="I114" s="32" t="s">
        <v>1023</v>
      </c>
      <c r="J114" s="32" t="s">
        <v>1028</v>
      </c>
      <c r="K114" s="32" t="s">
        <v>1029</v>
      </c>
      <c r="L114" s="32" t="s">
        <v>1026</v>
      </c>
      <c r="M114" s="31">
        <v>8</v>
      </c>
      <c r="N114" s="31">
        <v>5</v>
      </c>
      <c r="O114" s="31" t="s">
        <v>714</v>
      </c>
      <c r="P114" s="31" t="s">
        <v>702</v>
      </c>
      <c r="Q114" s="31" t="s">
        <v>701</v>
      </c>
      <c r="R114" s="31"/>
      <c r="S114" s="31" t="s">
        <v>706</v>
      </c>
      <c r="T114" s="53" t="s">
        <v>1734</v>
      </c>
    </row>
    <row r="115" spans="1:20" ht="105" customHeight="1">
      <c r="A115" s="31">
        <v>60</v>
      </c>
      <c r="B115" s="31">
        <v>208</v>
      </c>
      <c r="C115" s="31" t="s">
        <v>379</v>
      </c>
      <c r="D115" s="31">
        <v>1039</v>
      </c>
      <c r="E115" s="31" t="s">
        <v>273</v>
      </c>
      <c r="F115" s="32" t="s">
        <v>1033</v>
      </c>
      <c r="G115" s="31">
        <v>1</v>
      </c>
      <c r="H115" s="31">
        <v>0</v>
      </c>
      <c r="I115" s="32" t="s">
        <v>1023</v>
      </c>
      <c r="J115" s="32" t="s">
        <v>1028</v>
      </c>
      <c r="K115" s="32" t="s">
        <v>1029</v>
      </c>
      <c r="L115" s="32" t="s">
        <v>1026</v>
      </c>
      <c r="M115" s="31">
        <v>8</v>
      </c>
      <c r="N115" s="31">
        <v>5</v>
      </c>
      <c r="O115" s="31" t="s">
        <v>714</v>
      </c>
      <c r="P115" s="31" t="s">
        <v>702</v>
      </c>
      <c r="Q115" s="31" t="s">
        <v>701</v>
      </c>
      <c r="R115" s="31"/>
      <c r="S115" s="31" t="s">
        <v>706</v>
      </c>
      <c r="T115" s="53" t="s">
        <v>1734</v>
      </c>
    </row>
    <row r="116" spans="1:20" ht="105" customHeight="1">
      <c r="A116" s="31">
        <v>61</v>
      </c>
      <c r="B116" s="31">
        <v>214</v>
      </c>
      <c r="C116" s="31" t="s">
        <v>382</v>
      </c>
      <c r="D116" s="31">
        <v>1068</v>
      </c>
      <c r="E116" s="31" t="s">
        <v>57</v>
      </c>
      <c r="F116" s="32" t="s">
        <v>384</v>
      </c>
      <c r="G116" s="31">
        <v>1</v>
      </c>
      <c r="H116" s="31">
        <v>0</v>
      </c>
      <c r="I116" s="32" t="s">
        <v>1034</v>
      </c>
      <c r="J116" s="32" t="s">
        <v>1035</v>
      </c>
      <c r="K116" s="32" t="s">
        <v>1036</v>
      </c>
      <c r="L116" s="32" t="s">
        <v>1037</v>
      </c>
      <c r="M116" s="31">
        <v>1</v>
      </c>
      <c r="N116" s="31">
        <v>1</v>
      </c>
      <c r="O116" s="31" t="s">
        <v>769</v>
      </c>
      <c r="P116" s="31" t="s">
        <v>701</v>
      </c>
      <c r="Q116" s="31" t="s">
        <v>701</v>
      </c>
      <c r="R116" s="31"/>
      <c r="S116" s="53" t="s">
        <v>1684</v>
      </c>
      <c r="T116" s="53" t="s">
        <v>1735</v>
      </c>
    </row>
    <row r="117" spans="1:20" ht="105" customHeight="1">
      <c r="A117" s="31">
        <v>62</v>
      </c>
      <c r="B117" s="31">
        <v>215</v>
      </c>
      <c r="C117" s="31" t="s">
        <v>66</v>
      </c>
      <c r="D117" s="31">
        <v>1070</v>
      </c>
      <c r="E117" s="31" t="s">
        <v>67</v>
      </c>
      <c r="F117" s="32" t="s">
        <v>138</v>
      </c>
      <c r="G117" s="31">
        <v>0</v>
      </c>
      <c r="H117" s="31">
        <v>0</v>
      </c>
      <c r="I117" s="32" t="s">
        <v>139</v>
      </c>
      <c r="J117" s="32" t="s">
        <v>1038</v>
      </c>
      <c r="K117" s="32" t="s">
        <v>1039</v>
      </c>
      <c r="L117" s="32" t="s">
        <v>140</v>
      </c>
      <c r="M117" s="31">
        <v>2</v>
      </c>
      <c r="N117" s="31">
        <v>1</v>
      </c>
      <c r="O117" s="31" t="s">
        <v>700</v>
      </c>
      <c r="P117" s="31" t="s">
        <v>701</v>
      </c>
      <c r="Q117" s="31" t="s">
        <v>701</v>
      </c>
      <c r="R117" s="31" t="s">
        <v>26</v>
      </c>
      <c r="S117" s="53" t="s">
        <v>1684</v>
      </c>
      <c r="T117" s="53" t="s">
        <v>1737</v>
      </c>
    </row>
    <row r="118" spans="1:20" ht="105" customHeight="1">
      <c r="A118" s="31">
        <v>62</v>
      </c>
      <c r="B118" s="31">
        <v>215</v>
      </c>
      <c r="C118" s="31" t="s">
        <v>66</v>
      </c>
      <c r="D118" s="31">
        <v>1071</v>
      </c>
      <c r="E118" s="31" t="s">
        <v>67</v>
      </c>
      <c r="F118" s="32" t="s">
        <v>1040</v>
      </c>
      <c r="G118" s="31">
        <v>0</v>
      </c>
      <c r="H118" s="31">
        <v>0</v>
      </c>
      <c r="I118" s="32" t="s">
        <v>139</v>
      </c>
      <c r="J118" s="32" t="s">
        <v>1038</v>
      </c>
      <c r="K118" s="32" t="s">
        <v>1039</v>
      </c>
      <c r="L118" s="32" t="s">
        <v>140</v>
      </c>
      <c r="M118" s="31">
        <v>2</v>
      </c>
      <c r="N118" s="31">
        <v>1</v>
      </c>
      <c r="O118" s="31" t="s">
        <v>700</v>
      </c>
      <c r="P118" s="31" t="s">
        <v>701</v>
      </c>
      <c r="Q118" s="31" t="s">
        <v>701</v>
      </c>
      <c r="R118" s="31" t="s">
        <v>26</v>
      </c>
      <c r="S118" s="53" t="s">
        <v>1684</v>
      </c>
      <c r="T118" s="53" t="s">
        <v>1737</v>
      </c>
    </row>
    <row r="119" spans="1:20" ht="105" customHeight="1">
      <c r="A119" s="31">
        <v>62</v>
      </c>
      <c r="B119" s="31">
        <v>215</v>
      </c>
      <c r="C119" s="31" t="s">
        <v>66</v>
      </c>
      <c r="D119" s="31">
        <v>1072</v>
      </c>
      <c r="E119" s="31" t="s">
        <v>67</v>
      </c>
      <c r="F119" s="32" t="s">
        <v>1041</v>
      </c>
      <c r="G119" s="31">
        <v>0</v>
      </c>
      <c r="H119" s="31">
        <v>0</v>
      </c>
      <c r="I119" s="32" t="s">
        <v>139</v>
      </c>
      <c r="J119" s="32" t="s">
        <v>1038</v>
      </c>
      <c r="K119" s="32" t="s">
        <v>1039</v>
      </c>
      <c r="L119" s="32" t="s">
        <v>140</v>
      </c>
      <c r="M119" s="31">
        <v>2</v>
      </c>
      <c r="N119" s="31">
        <v>1</v>
      </c>
      <c r="O119" s="31" t="s">
        <v>700</v>
      </c>
      <c r="P119" s="31" t="s">
        <v>701</v>
      </c>
      <c r="Q119" s="31" t="s">
        <v>701</v>
      </c>
      <c r="R119" s="31" t="s">
        <v>26</v>
      </c>
      <c r="S119" s="53" t="s">
        <v>1684</v>
      </c>
      <c r="T119" s="53" t="s">
        <v>1737</v>
      </c>
    </row>
    <row r="120" spans="1:20" ht="105" customHeight="1">
      <c r="A120" s="31">
        <v>62</v>
      </c>
      <c r="B120" s="31">
        <v>215</v>
      </c>
      <c r="C120" s="31" t="s">
        <v>66</v>
      </c>
      <c r="D120" s="31">
        <v>1073</v>
      </c>
      <c r="E120" s="31" t="s">
        <v>67</v>
      </c>
      <c r="F120" s="32" t="s">
        <v>1042</v>
      </c>
      <c r="G120" s="31">
        <v>0</v>
      </c>
      <c r="H120" s="31">
        <v>0</v>
      </c>
      <c r="I120" s="32" t="s">
        <v>139</v>
      </c>
      <c r="J120" s="32" t="s">
        <v>1038</v>
      </c>
      <c r="K120" s="32" t="s">
        <v>1039</v>
      </c>
      <c r="L120" s="32" t="s">
        <v>140</v>
      </c>
      <c r="M120" s="31">
        <v>2</v>
      </c>
      <c r="N120" s="31">
        <v>1</v>
      </c>
      <c r="O120" s="31" t="s">
        <v>700</v>
      </c>
      <c r="P120" s="31" t="s">
        <v>701</v>
      </c>
      <c r="Q120" s="31" t="s">
        <v>701</v>
      </c>
      <c r="R120" s="31" t="s">
        <v>26</v>
      </c>
      <c r="S120" s="53" t="s">
        <v>1684</v>
      </c>
      <c r="T120" s="53" t="s">
        <v>1737</v>
      </c>
    </row>
    <row r="121" spans="1:20" ht="105" customHeight="1">
      <c r="A121" s="31">
        <v>63</v>
      </c>
      <c r="B121" s="31">
        <v>222</v>
      </c>
      <c r="C121" s="31" t="s">
        <v>386</v>
      </c>
      <c r="D121" s="31">
        <v>1109</v>
      </c>
      <c r="E121" s="31" t="s">
        <v>388</v>
      </c>
      <c r="F121" s="32" t="s">
        <v>389</v>
      </c>
      <c r="G121" s="31">
        <v>1</v>
      </c>
      <c r="H121" s="31">
        <v>0</v>
      </c>
      <c r="I121" s="32" t="s">
        <v>1043</v>
      </c>
      <c r="J121" s="32" t="s">
        <v>1044</v>
      </c>
      <c r="K121" s="32" t="s">
        <v>1045</v>
      </c>
      <c r="L121" s="32" t="s">
        <v>1046</v>
      </c>
      <c r="M121" s="31">
        <v>1</v>
      </c>
      <c r="N121" s="31">
        <v>1</v>
      </c>
      <c r="O121" s="31" t="s">
        <v>762</v>
      </c>
      <c r="P121" s="31" t="s">
        <v>701</v>
      </c>
      <c r="Q121" s="31" t="s">
        <v>701</v>
      </c>
      <c r="R121" s="31"/>
      <c r="S121" s="53" t="s">
        <v>1684</v>
      </c>
      <c r="T121" s="53" t="s">
        <v>1739</v>
      </c>
    </row>
    <row r="122" spans="1:20" ht="105" customHeight="1">
      <c r="A122" s="31">
        <v>64</v>
      </c>
      <c r="B122" s="31">
        <v>223</v>
      </c>
      <c r="C122" s="31" t="s">
        <v>390</v>
      </c>
      <c r="D122" s="31">
        <v>1111</v>
      </c>
      <c r="E122" s="31" t="s">
        <v>388</v>
      </c>
      <c r="F122" s="32" t="s">
        <v>392</v>
      </c>
      <c r="G122" s="31">
        <v>1</v>
      </c>
      <c r="H122" s="31">
        <v>0</v>
      </c>
      <c r="I122" s="32" t="s">
        <v>1047</v>
      </c>
      <c r="J122" s="32" t="s">
        <v>1048</v>
      </c>
      <c r="K122" s="32" t="s">
        <v>1049</v>
      </c>
      <c r="L122" s="32" t="s">
        <v>1050</v>
      </c>
      <c r="M122" s="31">
        <v>2</v>
      </c>
      <c r="N122" s="31">
        <v>2</v>
      </c>
      <c r="O122" s="31" t="s">
        <v>721</v>
      </c>
      <c r="P122" s="31" t="s">
        <v>702</v>
      </c>
      <c r="Q122" s="31" t="s">
        <v>701</v>
      </c>
      <c r="R122" s="31"/>
      <c r="S122" s="31" t="s">
        <v>706</v>
      </c>
      <c r="T122" s="53" t="s">
        <v>1740</v>
      </c>
    </row>
    <row r="123" spans="1:20" ht="105" customHeight="1">
      <c r="A123" s="31">
        <v>64</v>
      </c>
      <c r="B123" s="31">
        <v>223</v>
      </c>
      <c r="C123" s="31" t="s">
        <v>390</v>
      </c>
      <c r="D123" s="31">
        <v>1114</v>
      </c>
      <c r="E123" s="31" t="s">
        <v>388</v>
      </c>
      <c r="F123" s="32" t="s">
        <v>1051</v>
      </c>
      <c r="G123" s="31">
        <v>1</v>
      </c>
      <c r="H123" s="31">
        <v>0</v>
      </c>
      <c r="I123" s="32" t="s">
        <v>1047</v>
      </c>
      <c r="J123" s="32" t="s">
        <v>1048</v>
      </c>
      <c r="K123" s="32" t="s">
        <v>1049</v>
      </c>
      <c r="L123" s="32" t="s">
        <v>1050</v>
      </c>
      <c r="M123" s="31">
        <v>2</v>
      </c>
      <c r="N123" s="31">
        <v>2</v>
      </c>
      <c r="O123" s="31" t="s">
        <v>721</v>
      </c>
      <c r="P123" s="31" t="s">
        <v>702</v>
      </c>
      <c r="Q123" s="31" t="s">
        <v>701</v>
      </c>
      <c r="R123" s="31"/>
      <c r="S123" s="31" t="s">
        <v>706</v>
      </c>
      <c r="T123" s="53" t="s">
        <v>1740</v>
      </c>
    </row>
    <row r="124" spans="1:20" ht="105" customHeight="1">
      <c r="A124" s="31">
        <v>65</v>
      </c>
      <c r="B124" s="31">
        <v>231</v>
      </c>
      <c r="C124" s="31" t="s">
        <v>393</v>
      </c>
      <c r="D124" s="31">
        <v>1153</v>
      </c>
      <c r="E124" s="31" t="s">
        <v>236</v>
      </c>
      <c r="F124" s="32" t="s">
        <v>395</v>
      </c>
      <c r="G124" s="31">
        <v>1</v>
      </c>
      <c r="H124" s="31">
        <v>0</v>
      </c>
      <c r="I124" s="32" t="s">
        <v>1052</v>
      </c>
      <c r="J124" s="32" t="s">
        <v>1053</v>
      </c>
      <c r="K124" s="32" t="s">
        <v>1054</v>
      </c>
      <c r="L124" s="32" t="s">
        <v>1055</v>
      </c>
      <c r="M124" s="31">
        <v>6</v>
      </c>
      <c r="N124" s="31">
        <v>1</v>
      </c>
      <c r="O124" s="31" t="s">
        <v>714</v>
      </c>
      <c r="P124" s="31" t="s">
        <v>702</v>
      </c>
      <c r="Q124" s="31" t="s">
        <v>701</v>
      </c>
      <c r="R124" s="31"/>
      <c r="S124" s="31" t="s">
        <v>706</v>
      </c>
      <c r="T124" s="53" t="s">
        <v>1741</v>
      </c>
    </row>
    <row r="125" spans="1:20" ht="105" customHeight="1">
      <c r="A125" s="31">
        <v>66</v>
      </c>
      <c r="B125" s="31">
        <v>234</v>
      </c>
      <c r="C125" s="31" t="s">
        <v>396</v>
      </c>
      <c r="D125" s="31">
        <v>1165</v>
      </c>
      <c r="E125" s="31" t="s">
        <v>67</v>
      </c>
      <c r="F125" s="32" t="s">
        <v>398</v>
      </c>
      <c r="G125" s="31">
        <v>1</v>
      </c>
      <c r="H125" s="31">
        <v>0</v>
      </c>
      <c r="I125" s="32" t="s">
        <v>1056</v>
      </c>
      <c r="J125" s="32" t="s">
        <v>1057</v>
      </c>
      <c r="K125" s="32" t="s">
        <v>1058</v>
      </c>
      <c r="L125" s="32" t="s">
        <v>1059</v>
      </c>
      <c r="M125" s="31">
        <v>68</v>
      </c>
      <c r="N125" s="31">
        <v>6</v>
      </c>
      <c r="O125" s="31" t="s">
        <v>714</v>
      </c>
      <c r="P125" s="31" t="s">
        <v>702</v>
      </c>
      <c r="Q125" s="31" t="s">
        <v>701</v>
      </c>
      <c r="R125" s="31"/>
      <c r="S125" s="31" t="s">
        <v>706</v>
      </c>
      <c r="T125" s="53" t="s">
        <v>1742</v>
      </c>
    </row>
    <row r="126" spans="1:20" ht="105" customHeight="1">
      <c r="A126" s="31">
        <v>66</v>
      </c>
      <c r="B126" s="31">
        <v>234</v>
      </c>
      <c r="C126" s="31" t="s">
        <v>396</v>
      </c>
      <c r="D126" s="31">
        <v>1167</v>
      </c>
      <c r="E126" s="31" t="s">
        <v>67</v>
      </c>
      <c r="F126" s="32" t="s">
        <v>1060</v>
      </c>
      <c r="G126" s="31">
        <v>1</v>
      </c>
      <c r="H126" s="31">
        <v>0</v>
      </c>
      <c r="I126" s="32" t="s">
        <v>1056</v>
      </c>
      <c r="J126" s="32" t="s">
        <v>1057</v>
      </c>
      <c r="K126" s="32" t="s">
        <v>1058</v>
      </c>
      <c r="L126" s="32" t="s">
        <v>1059</v>
      </c>
      <c r="M126" s="31">
        <v>68</v>
      </c>
      <c r="N126" s="31">
        <v>6</v>
      </c>
      <c r="O126" s="31" t="s">
        <v>714</v>
      </c>
      <c r="P126" s="31" t="s">
        <v>702</v>
      </c>
      <c r="Q126" s="31" t="s">
        <v>701</v>
      </c>
      <c r="R126" s="31"/>
      <c r="S126" s="31" t="s">
        <v>706</v>
      </c>
      <c r="T126" s="53" t="s">
        <v>1742</v>
      </c>
    </row>
    <row r="127" spans="1:20" ht="105" customHeight="1">
      <c r="A127" s="31">
        <v>67</v>
      </c>
      <c r="B127" s="31">
        <v>236</v>
      </c>
      <c r="C127" s="31" t="s">
        <v>399</v>
      </c>
      <c r="D127" s="31">
        <v>1177</v>
      </c>
      <c r="E127" s="31" t="s">
        <v>350</v>
      </c>
      <c r="F127" s="32" t="s">
        <v>401</v>
      </c>
      <c r="G127" s="31">
        <v>1</v>
      </c>
      <c r="H127" s="31">
        <v>0</v>
      </c>
      <c r="I127" s="32" t="s">
        <v>1061</v>
      </c>
      <c r="J127" s="32" t="s">
        <v>1062</v>
      </c>
      <c r="K127" s="32" t="s">
        <v>1063</v>
      </c>
      <c r="L127" s="32" t="s">
        <v>1064</v>
      </c>
      <c r="M127" s="31">
        <v>0</v>
      </c>
      <c r="N127" s="31">
        <v>5</v>
      </c>
      <c r="O127" s="31" t="s">
        <v>726</v>
      </c>
      <c r="P127" s="31" t="s">
        <v>702</v>
      </c>
      <c r="Q127" s="31" t="s">
        <v>701</v>
      </c>
      <c r="R127" s="31"/>
      <c r="S127" s="31" t="s">
        <v>706</v>
      </c>
      <c r="T127" s="53" t="s">
        <v>1743</v>
      </c>
    </row>
    <row r="128" spans="1:20" ht="105" customHeight="1">
      <c r="A128" s="31">
        <v>68</v>
      </c>
      <c r="B128" s="31">
        <v>237</v>
      </c>
      <c r="C128" s="31" t="s">
        <v>402</v>
      </c>
      <c r="D128" s="31">
        <v>1182</v>
      </c>
      <c r="E128" s="31" t="s">
        <v>226</v>
      </c>
      <c r="F128" s="32" t="s">
        <v>404</v>
      </c>
      <c r="G128" s="31">
        <v>1</v>
      </c>
      <c r="H128" s="31">
        <v>0</v>
      </c>
      <c r="I128" s="32" t="s">
        <v>1065</v>
      </c>
      <c r="J128" s="32" t="s">
        <v>1066</v>
      </c>
      <c r="K128" s="32" t="s">
        <v>1067</v>
      </c>
      <c r="L128" s="32" t="s">
        <v>1068</v>
      </c>
      <c r="M128" s="31">
        <v>0</v>
      </c>
      <c r="N128" s="31">
        <v>1</v>
      </c>
      <c r="O128" s="31" t="s">
        <v>726</v>
      </c>
      <c r="P128" s="31" t="s">
        <v>702</v>
      </c>
      <c r="Q128" s="31" t="s">
        <v>701</v>
      </c>
      <c r="R128" s="31"/>
      <c r="S128" s="31" t="s">
        <v>706</v>
      </c>
      <c r="T128" s="53" t="s">
        <v>1745</v>
      </c>
    </row>
    <row r="129" spans="1:20" ht="105" customHeight="1">
      <c r="A129" s="31">
        <v>69</v>
      </c>
      <c r="B129" s="31">
        <v>242</v>
      </c>
      <c r="C129" s="31" t="s">
        <v>405</v>
      </c>
      <c r="D129" s="31">
        <v>1205</v>
      </c>
      <c r="E129" s="31" t="s">
        <v>218</v>
      </c>
      <c r="F129" s="32" t="s">
        <v>407</v>
      </c>
      <c r="G129" s="31">
        <v>1</v>
      </c>
      <c r="H129" s="31">
        <v>0</v>
      </c>
      <c r="I129" s="32" t="s">
        <v>1069</v>
      </c>
      <c r="J129" s="32" t="s">
        <v>1070</v>
      </c>
      <c r="K129" s="32" t="s">
        <v>1071</v>
      </c>
      <c r="L129" s="32" t="s">
        <v>1072</v>
      </c>
      <c r="M129" s="31">
        <v>0</v>
      </c>
      <c r="N129" s="31">
        <v>10</v>
      </c>
      <c r="O129" s="31" t="s">
        <v>726</v>
      </c>
      <c r="P129" s="31" t="s">
        <v>702</v>
      </c>
      <c r="Q129" s="31" t="s">
        <v>701</v>
      </c>
      <c r="R129" s="31"/>
      <c r="S129" s="31" t="s">
        <v>706</v>
      </c>
      <c r="T129" s="53" t="s">
        <v>1746</v>
      </c>
    </row>
    <row r="130" spans="1:20" ht="105" customHeight="1">
      <c r="A130" s="31">
        <v>69</v>
      </c>
      <c r="B130" s="31">
        <v>242</v>
      </c>
      <c r="C130" s="31" t="s">
        <v>405</v>
      </c>
      <c r="D130" s="31">
        <v>1207</v>
      </c>
      <c r="E130" s="31" t="s">
        <v>218</v>
      </c>
      <c r="F130" s="32" t="s">
        <v>1073</v>
      </c>
      <c r="G130" s="31">
        <v>1</v>
      </c>
      <c r="H130" s="31">
        <v>0</v>
      </c>
      <c r="I130" s="32" t="s">
        <v>1069</v>
      </c>
      <c r="J130" s="32" t="s">
        <v>1074</v>
      </c>
      <c r="K130" s="32" t="s">
        <v>1075</v>
      </c>
      <c r="L130" s="32" t="s">
        <v>1072</v>
      </c>
      <c r="M130" s="31">
        <v>10</v>
      </c>
      <c r="N130" s="31">
        <v>10</v>
      </c>
      <c r="O130" s="31" t="s">
        <v>762</v>
      </c>
      <c r="P130" s="31" t="s">
        <v>701</v>
      </c>
      <c r="Q130" s="31" t="s">
        <v>701</v>
      </c>
      <c r="R130" s="31"/>
      <c r="S130" s="53" t="s">
        <v>1684</v>
      </c>
      <c r="T130" s="53" t="s">
        <v>1746</v>
      </c>
    </row>
    <row r="131" spans="1:20" ht="105" customHeight="1">
      <c r="A131" s="31">
        <v>69</v>
      </c>
      <c r="B131" s="31">
        <v>242</v>
      </c>
      <c r="C131" s="31" t="s">
        <v>405</v>
      </c>
      <c r="D131" s="31">
        <v>1209</v>
      </c>
      <c r="E131" s="31" t="s">
        <v>218</v>
      </c>
      <c r="F131" s="32" t="s">
        <v>1076</v>
      </c>
      <c r="G131" s="31">
        <v>1</v>
      </c>
      <c r="H131" s="31">
        <v>0</v>
      </c>
      <c r="I131" s="32" t="s">
        <v>1069</v>
      </c>
      <c r="J131" s="32" t="s">
        <v>1077</v>
      </c>
      <c r="K131" s="32" t="s">
        <v>1075</v>
      </c>
      <c r="L131" s="32" t="s">
        <v>1072</v>
      </c>
      <c r="M131" s="31">
        <v>10</v>
      </c>
      <c r="N131" s="31">
        <v>10</v>
      </c>
      <c r="O131" s="31" t="s">
        <v>762</v>
      </c>
      <c r="P131" s="31" t="s">
        <v>701</v>
      </c>
      <c r="Q131" s="31" t="s">
        <v>701</v>
      </c>
      <c r="R131" s="31"/>
      <c r="S131" s="53" t="s">
        <v>1684</v>
      </c>
      <c r="T131" s="53" t="s">
        <v>1746</v>
      </c>
    </row>
    <row r="132" spans="1:20" ht="105" customHeight="1">
      <c r="A132" s="31">
        <v>70</v>
      </c>
      <c r="B132" s="31">
        <v>243</v>
      </c>
      <c r="C132" s="31" t="s">
        <v>408</v>
      </c>
      <c r="D132" s="31">
        <v>1214</v>
      </c>
      <c r="E132" s="31" t="s">
        <v>67</v>
      </c>
      <c r="F132" s="32" t="s">
        <v>410</v>
      </c>
      <c r="G132" s="31">
        <v>1</v>
      </c>
      <c r="H132" s="31">
        <v>0</v>
      </c>
      <c r="I132" s="32" t="s">
        <v>1078</v>
      </c>
      <c r="J132" s="32" t="s">
        <v>1079</v>
      </c>
      <c r="K132" s="32" t="s">
        <v>1080</v>
      </c>
      <c r="L132" s="32" t="s">
        <v>1081</v>
      </c>
      <c r="M132" s="31">
        <v>1</v>
      </c>
      <c r="N132" s="31">
        <v>1</v>
      </c>
      <c r="O132" s="31" t="s">
        <v>762</v>
      </c>
      <c r="P132" s="31" t="s">
        <v>701</v>
      </c>
      <c r="Q132" s="31" t="s">
        <v>701</v>
      </c>
      <c r="R132" s="31"/>
      <c r="S132" s="31" t="s">
        <v>1720</v>
      </c>
      <c r="T132" s="53" t="s">
        <v>1747</v>
      </c>
    </row>
    <row r="133" spans="1:20" ht="105" customHeight="1">
      <c r="A133" s="31">
        <v>71</v>
      </c>
      <c r="B133" s="31">
        <v>244</v>
      </c>
      <c r="C133" s="31" t="s">
        <v>411</v>
      </c>
      <c r="D133" s="31">
        <v>1217</v>
      </c>
      <c r="E133" s="31" t="s">
        <v>226</v>
      </c>
      <c r="F133" s="32" t="s">
        <v>413</v>
      </c>
      <c r="G133" s="31">
        <v>1</v>
      </c>
      <c r="H133" s="31">
        <v>0</v>
      </c>
      <c r="I133" s="32" t="s">
        <v>1082</v>
      </c>
      <c r="J133" s="32" t="s">
        <v>1083</v>
      </c>
      <c r="K133" s="32" t="s">
        <v>1084</v>
      </c>
      <c r="L133" s="32" t="s">
        <v>1085</v>
      </c>
      <c r="M133" s="31">
        <v>2</v>
      </c>
      <c r="N133" s="31">
        <v>2</v>
      </c>
      <c r="O133" s="31" t="s">
        <v>796</v>
      </c>
      <c r="P133" s="31" t="s">
        <v>702</v>
      </c>
      <c r="Q133" s="31" t="s">
        <v>701</v>
      </c>
      <c r="R133" s="31"/>
      <c r="S133" s="31" t="s">
        <v>706</v>
      </c>
      <c r="T133" s="53" t="s">
        <v>1749</v>
      </c>
    </row>
    <row r="134" spans="1:20" ht="105" customHeight="1">
      <c r="A134" s="31">
        <v>72</v>
      </c>
      <c r="B134" s="31">
        <v>245</v>
      </c>
      <c r="C134" s="31" t="s">
        <v>414</v>
      </c>
      <c r="D134" s="31">
        <v>1222</v>
      </c>
      <c r="E134" s="31" t="s">
        <v>41</v>
      </c>
      <c r="F134" s="32" t="s">
        <v>416</v>
      </c>
      <c r="G134" s="31">
        <v>1</v>
      </c>
      <c r="H134" s="31">
        <v>0</v>
      </c>
      <c r="I134" s="32" t="s">
        <v>1086</v>
      </c>
      <c r="J134" s="32" t="s">
        <v>1087</v>
      </c>
      <c r="K134" s="32" t="s">
        <v>1088</v>
      </c>
      <c r="L134" s="32" t="s">
        <v>1089</v>
      </c>
      <c r="M134" s="31">
        <v>17</v>
      </c>
      <c r="N134" s="31">
        <v>15</v>
      </c>
      <c r="O134" s="31" t="s">
        <v>700</v>
      </c>
      <c r="P134" s="31" t="s">
        <v>702</v>
      </c>
      <c r="Q134" s="31" t="s">
        <v>701</v>
      </c>
      <c r="R134" s="31"/>
      <c r="S134" s="31" t="s">
        <v>706</v>
      </c>
      <c r="T134" s="53" t="s">
        <v>1750</v>
      </c>
    </row>
    <row r="135" spans="1:20" ht="105" customHeight="1">
      <c r="A135" s="31">
        <v>73</v>
      </c>
      <c r="B135" s="31">
        <v>251</v>
      </c>
      <c r="C135" s="31" t="s">
        <v>417</v>
      </c>
      <c r="D135" s="31">
        <v>1252</v>
      </c>
      <c r="E135" s="31" t="s">
        <v>96</v>
      </c>
      <c r="F135" s="32" t="s">
        <v>419</v>
      </c>
      <c r="G135" s="31">
        <v>1</v>
      </c>
      <c r="H135" s="31">
        <v>0</v>
      </c>
      <c r="I135" s="32" t="s">
        <v>1090</v>
      </c>
      <c r="J135" s="32" t="s">
        <v>1091</v>
      </c>
      <c r="K135" s="32" t="s">
        <v>1092</v>
      </c>
      <c r="L135" s="32" t="s">
        <v>1093</v>
      </c>
      <c r="M135" s="31">
        <v>9</v>
      </c>
      <c r="N135" s="31">
        <v>6</v>
      </c>
      <c r="O135" s="31" t="s">
        <v>762</v>
      </c>
      <c r="P135" s="31" t="s">
        <v>702</v>
      </c>
      <c r="Q135" s="31" t="s">
        <v>701</v>
      </c>
      <c r="R135" s="31"/>
      <c r="S135" s="31" t="s">
        <v>706</v>
      </c>
      <c r="T135" s="53" t="s">
        <v>1751</v>
      </c>
    </row>
    <row r="136" spans="1:20" ht="105" customHeight="1">
      <c r="A136" s="31">
        <v>73</v>
      </c>
      <c r="B136" s="31">
        <v>251</v>
      </c>
      <c r="C136" s="31" t="s">
        <v>417</v>
      </c>
      <c r="D136" s="31">
        <v>1253</v>
      </c>
      <c r="E136" s="31" t="s">
        <v>96</v>
      </c>
      <c r="F136" s="32" t="s">
        <v>1094</v>
      </c>
      <c r="G136" s="31">
        <v>1</v>
      </c>
      <c r="H136" s="31">
        <v>0</v>
      </c>
      <c r="I136" s="32" t="s">
        <v>1090</v>
      </c>
      <c r="J136" s="32" t="s">
        <v>1095</v>
      </c>
      <c r="K136" s="32" t="s">
        <v>1096</v>
      </c>
      <c r="L136" s="32" t="s">
        <v>1093</v>
      </c>
      <c r="M136" s="31">
        <v>6</v>
      </c>
      <c r="N136" s="31">
        <v>6</v>
      </c>
      <c r="O136" s="31" t="s">
        <v>769</v>
      </c>
      <c r="P136" s="31" t="s">
        <v>702</v>
      </c>
      <c r="Q136" s="31" t="s">
        <v>701</v>
      </c>
      <c r="R136" s="31"/>
      <c r="S136" s="31" t="s">
        <v>706</v>
      </c>
      <c r="T136" s="53" t="s">
        <v>1751</v>
      </c>
    </row>
    <row r="137" spans="1:20" ht="105" customHeight="1">
      <c r="A137" s="31">
        <v>74</v>
      </c>
      <c r="B137" s="31">
        <v>255</v>
      </c>
      <c r="C137" s="31" t="s">
        <v>420</v>
      </c>
      <c r="D137" s="31">
        <v>1274</v>
      </c>
      <c r="E137" s="31" t="s">
        <v>269</v>
      </c>
      <c r="F137" s="32" t="s">
        <v>422</v>
      </c>
      <c r="G137" s="31">
        <v>1</v>
      </c>
      <c r="H137" s="31">
        <v>0</v>
      </c>
      <c r="I137" s="32" t="s">
        <v>1097</v>
      </c>
      <c r="J137" s="32" t="s">
        <v>1098</v>
      </c>
      <c r="K137" s="32" t="s">
        <v>1099</v>
      </c>
      <c r="L137" s="32" t="s">
        <v>1100</v>
      </c>
      <c r="M137" s="31">
        <v>1</v>
      </c>
      <c r="N137" s="31">
        <v>3</v>
      </c>
      <c r="O137" s="31" t="s">
        <v>721</v>
      </c>
      <c r="P137" s="31" t="s">
        <v>702</v>
      </c>
      <c r="Q137" s="31" t="s">
        <v>701</v>
      </c>
      <c r="R137" s="31"/>
      <c r="S137" s="31" t="s">
        <v>706</v>
      </c>
      <c r="T137" s="53" t="s">
        <v>1752</v>
      </c>
    </row>
    <row r="138" spans="1:20" ht="105" customHeight="1">
      <c r="A138" s="31">
        <v>75</v>
      </c>
      <c r="B138" s="31">
        <v>256</v>
      </c>
      <c r="C138" s="31" t="s">
        <v>423</v>
      </c>
      <c r="D138" s="31">
        <v>1277</v>
      </c>
      <c r="E138" s="31" t="s">
        <v>88</v>
      </c>
      <c r="F138" s="32" t="s">
        <v>425</v>
      </c>
      <c r="G138" s="31">
        <v>1</v>
      </c>
      <c r="H138" s="31">
        <v>0</v>
      </c>
      <c r="I138" s="32" t="s">
        <v>1101</v>
      </c>
      <c r="J138" s="32" t="s">
        <v>1102</v>
      </c>
      <c r="K138" s="32" t="s">
        <v>1103</v>
      </c>
      <c r="L138" s="32" t="s">
        <v>1104</v>
      </c>
      <c r="M138" s="31">
        <v>0</v>
      </c>
      <c r="N138" s="31">
        <v>1</v>
      </c>
      <c r="O138" s="31" t="s">
        <v>726</v>
      </c>
      <c r="P138" s="31" t="s">
        <v>702</v>
      </c>
      <c r="Q138" s="31" t="s">
        <v>701</v>
      </c>
      <c r="R138" s="31"/>
      <c r="S138" s="31" t="s">
        <v>706</v>
      </c>
      <c r="T138" s="53" t="s">
        <v>1753</v>
      </c>
    </row>
    <row r="139" spans="1:20" ht="105" customHeight="1">
      <c r="A139" s="31">
        <v>76</v>
      </c>
      <c r="B139" s="31">
        <v>258</v>
      </c>
      <c r="C139" s="31" t="s">
        <v>426</v>
      </c>
      <c r="D139" s="31">
        <v>1289</v>
      </c>
      <c r="E139" s="31" t="s">
        <v>67</v>
      </c>
      <c r="F139" s="32" t="s">
        <v>428</v>
      </c>
      <c r="G139" s="31">
        <v>1</v>
      </c>
      <c r="H139" s="31">
        <v>0</v>
      </c>
      <c r="I139" s="32" t="s">
        <v>1105</v>
      </c>
      <c r="J139" s="32" t="s">
        <v>1106</v>
      </c>
      <c r="K139" s="32" t="s">
        <v>1107</v>
      </c>
      <c r="L139" s="32" t="s">
        <v>1108</v>
      </c>
      <c r="M139" s="31">
        <v>0</v>
      </c>
      <c r="N139" s="31">
        <v>1</v>
      </c>
      <c r="O139" s="31" t="s">
        <v>726</v>
      </c>
      <c r="P139" s="31" t="s">
        <v>702</v>
      </c>
      <c r="Q139" s="31" t="s">
        <v>701</v>
      </c>
      <c r="R139" s="31"/>
      <c r="S139" s="31" t="s">
        <v>706</v>
      </c>
      <c r="T139" s="53" t="s">
        <v>1754</v>
      </c>
    </row>
    <row r="140" spans="1:20" ht="105" customHeight="1">
      <c r="A140" s="31">
        <v>77</v>
      </c>
      <c r="B140" s="31">
        <v>259</v>
      </c>
      <c r="C140" s="31" t="s">
        <v>429</v>
      </c>
      <c r="D140" s="31">
        <v>1291</v>
      </c>
      <c r="E140" s="31" t="s">
        <v>76</v>
      </c>
      <c r="F140" s="32" t="s">
        <v>431</v>
      </c>
      <c r="G140" s="31">
        <v>1</v>
      </c>
      <c r="H140" s="31">
        <v>0</v>
      </c>
      <c r="I140" s="32" t="s">
        <v>1109</v>
      </c>
      <c r="J140" s="32" t="s">
        <v>1110</v>
      </c>
      <c r="K140" s="32" t="s">
        <v>1111</v>
      </c>
      <c r="L140" s="32" t="s">
        <v>1112</v>
      </c>
      <c r="M140" s="31">
        <v>5</v>
      </c>
      <c r="N140" s="31">
        <v>1</v>
      </c>
      <c r="O140" s="31" t="s">
        <v>769</v>
      </c>
      <c r="P140" s="31" t="s">
        <v>702</v>
      </c>
      <c r="Q140" s="31" t="s">
        <v>701</v>
      </c>
      <c r="R140" s="31"/>
      <c r="S140" s="31" t="s">
        <v>706</v>
      </c>
      <c r="T140" s="53" t="s">
        <v>1755</v>
      </c>
    </row>
    <row r="141" spans="1:20" ht="105" customHeight="1">
      <c r="A141" s="31">
        <v>78</v>
      </c>
      <c r="B141" s="31">
        <v>263</v>
      </c>
      <c r="C141" s="31" t="s">
        <v>432</v>
      </c>
      <c r="D141" s="31">
        <v>1314</v>
      </c>
      <c r="E141" s="31" t="s">
        <v>226</v>
      </c>
      <c r="F141" s="32" t="s">
        <v>434</v>
      </c>
      <c r="G141" s="31">
        <v>1</v>
      </c>
      <c r="H141" s="31">
        <v>0</v>
      </c>
      <c r="I141" s="32" t="s">
        <v>1113</v>
      </c>
      <c r="J141" s="32" t="s">
        <v>1114</v>
      </c>
      <c r="K141" s="32" t="s">
        <v>1115</v>
      </c>
      <c r="L141" s="32" t="s">
        <v>1116</v>
      </c>
      <c r="M141" s="31">
        <v>3</v>
      </c>
      <c r="N141" s="31">
        <v>1</v>
      </c>
      <c r="O141" s="31" t="s">
        <v>714</v>
      </c>
      <c r="P141" s="31" t="s">
        <v>702</v>
      </c>
      <c r="Q141" s="31" t="s">
        <v>701</v>
      </c>
      <c r="R141" s="31"/>
      <c r="S141" s="31" t="s">
        <v>706</v>
      </c>
      <c r="T141" s="53" t="s">
        <v>1756</v>
      </c>
    </row>
    <row r="142" spans="1:20" ht="105" customHeight="1">
      <c r="A142" s="31">
        <v>79</v>
      </c>
      <c r="B142" s="31">
        <v>265</v>
      </c>
      <c r="C142" s="31" t="s">
        <v>435</v>
      </c>
      <c r="D142" s="31">
        <v>1322</v>
      </c>
      <c r="E142" s="31" t="s">
        <v>67</v>
      </c>
      <c r="F142" s="32" t="s">
        <v>437</v>
      </c>
      <c r="G142" s="31">
        <v>1</v>
      </c>
      <c r="H142" s="31">
        <v>0</v>
      </c>
      <c r="I142" s="32" t="s">
        <v>1117</v>
      </c>
      <c r="J142" s="32" t="s">
        <v>1118</v>
      </c>
      <c r="K142" s="32" t="s">
        <v>1119</v>
      </c>
      <c r="L142" s="32" t="s">
        <v>1120</v>
      </c>
      <c r="M142" s="31">
        <v>0</v>
      </c>
      <c r="N142" s="31">
        <v>1</v>
      </c>
      <c r="O142" s="31" t="s">
        <v>726</v>
      </c>
      <c r="P142" s="31" t="s">
        <v>702</v>
      </c>
      <c r="Q142" s="31" t="s">
        <v>701</v>
      </c>
      <c r="R142" s="31"/>
      <c r="S142" s="31" t="s">
        <v>706</v>
      </c>
      <c r="T142" s="53" t="s">
        <v>1757</v>
      </c>
    </row>
    <row r="143" spans="1:20" ht="105" customHeight="1">
      <c r="A143" s="31">
        <v>79</v>
      </c>
      <c r="B143" s="31">
        <v>265</v>
      </c>
      <c r="C143" s="31" t="s">
        <v>435</v>
      </c>
      <c r="D143" s="31">
        <v>1323</v>
      </c>
      <c r="E143" s="31" t="s">
        <v>67</v>
      </c>
      <c r="F143" s="32" t="s">
        <v>1121</v>
      </c>
      <c r="G143" s="31">
        <v>1</v>
      </c>
      <c r="H143" s="31">
        <v>0</v>
      </c>
      <c r="I143" s="32" t="s">
        <v>1117</v>
      </c>
      <c r="J143" s="32" t="s">
        <v>1122</v>
      </c>
      <c r="K143" s="32" t="s">
        <v>1123</v>
      </c>
      <c r="L143" s="32" t="s">
        <v>1120</v>
      </c>
      <c r="M143" s="31">
        <v>1</v>
      </c>
      <c r="N143" s="31">
        <v>1</v>
      </c>
      <c r="O143" s="31" t="s">
        <v>769</v>
      </c>
      <c r="P143" s="31" t="s">
        <v>702</v>
      </c>
      <c r="Q143" s="31" t="s">
        <v>701</v>
      </c>
      <c r="R143" s="31"/>
      <c r="S143" s="31" t="s">
        <v>706</v>
      </c>
      <c r="T143" s="53" t="s">
        <v>1757</v>
      </c>
    </row>
    <row r="144" spans="1:20" ht="105" customHeight="1">
      <c r="A144" s="31">
        <v>79</v>
      </c>
      <c r="B144" s="31">
        <v>265</v>
      </c>
      <c r="C144" s="31" t="s">
        <v>435</v>
      </c>
      <c r="D144" s="31">
        <v>1324</v>
      </c>
      <c r="E144" s="31" t="s">
        <v>67</v>
      </c>
      <c r="F144" s="32" t="s">
        <v>1124</v>
      </c>
      <c r="G144" s="31">
        <v>1</v>
      </c>
      <c r="H144" s="31">
        <v>0</v>
      </c>
      <c r="I144" s="32" t="s">
        <v>1117</v>
      </c>
      <c r="J144" s="32" t="s">
        <v>1125</v>
      </c>
      <c r="K144" s="32" t="s">
        <v>1126</v>
      </c>
      <c r="L144" s="32" t="s">
        <v>1120</v>
      </c>
      <c r="M144" s="31">
        <v>328</v>
      </c>
      <c r="N144" s="31">
        <v>1</v>
      </c>
      <c r="O144" s="31" t="s">
        <v>762</v>
      </c>
      <c r="P144" s="31" t="s">
        <v>702</v>
      </c>
      <c r="Q144" s="31" t="s">
        <v>701</v>
      </c>
      <c r="R144" s="31"/>
      <c r="S144" s="31" t="s">
        <v>706</v>
      </c>
      <c r="T144" s="53" t="s">
        <v>1757</v>
      </c>
    </row>
    <row r="145" spans="1:20" ht="105" customHeight="1">
      <c r="A145" s="31">
        <v>80</v>
      </c>
      <c r="B145" s="31">
        <v>267</v>
      </c>
      <c r="C145" s="31" t="s">
        <v>438</v>
      </c>
      <c r="D145" s="31">
        <v>1332</v>
      </c>
      <c r="E145" s="31" t="s">
        <v>328</v>
      </c>
      <c r="F145" s="32" t="s">
        <v>440</v>
      </c>
      <c r="G145" s="31">
        <v>1</v>
      </c>
      <c r="H145" s="31">
        <v>0</v>
      </c>
      <c r="I145" s="32" t="s">
        <v>1127</v>
      </c>
      <c r="J145" s="32" t="s">
        <v>1128</v>
      </c>
      <c r="K145" s="32" t="s">
        <v>1129</v>
      </c>
      <c r="L145" s="32" t="s">
        <v>1130</v>
      </c>
      <c r="M145" s="31">
        <v>1</v>
      </c>
      <c r="N145" s="31">
        <v>1</v>
      </c>
      <c r="O145" s="31" t="s">
        <v>700</v>
      </c>
      <c r="P145" s="31" t="s">
        <v>702</v>
      </c>
      <c r="Q145" s="31" t="s">
        <v>701</v>
      </c>
      <c r="R145" s="31"/>
      <c r="S145" s="31" t="s">
        <v>706</v>
      </c>
      <c r="T145" s="53" t="s">
        <v>1758</v>
      </c>
    </row>
    <row r="146" spans="1:20" ht="105" customHeight="1">
      <c r="A146" s="31">
        <v>80</v>
      </c>
      <c r="B146" s="31">
        <v>267</v>
      </c>
      <c r="C146" s="31" t="s">
        <v>438</v>
      </c>
      <c r="D146" s="31">
        <v>1333</v>
      </c>
      <c r="E146" s="31" t="s">
        <v>328</v>
      </c>
      <c r="F146" s="32" t="s">
        <v>1131</v>
      </c>
      <c r="G146" s="31">
        <v>1</v>
      </c>
      <c r="H146" s="31">
        <v>0</v>
      </c>
      <c r="I146" s="32" t="s">
        <v>1127</v>
      </c>
      <c r="J146" s="32" t="s">
        <v>1132</v>
      </c>
      <c r="K146" s="32" t="s">
        <v>1133</v>
      </c>
      <c r="L146" s="32" t="s">
        <v>1130</v>
      </c>
      <c r="M146" s="31">
        <v>1</v>
      </c>
      <c r="N146" s="31">
        <v>1</v>
      </c>
      <c r="O146" s="31" t="s">
        <v>700</v>
      </c>
      <c r="P146" s="31" t="s">
        <v>702</v>
      </c>
      <c r="Q146" s="31" t="s">
        <v>701</v>
      </c>
      <c r="R146" s="31"/>
      <c r="S146" s="31" t="s">
        <v>706</v>
      </c>
      <c r="T146" s="53" t="s">
        <v>1758</v>
      </c>
    </row>
    <row r="147" spans="1:20" ht="105" customHeight="1">
      <c r="A147" s="31">
        <v>80</v>
      </c>
      <c r="B147" s="31">
        <v>267</v>
      </c>
      <c r="C147" s="31" t="s">
        <v>438</v>
      </c>
      <c r="D147" s="31">
        <v>1334</v>
      </c>
      <c r="E147" s="31" t="s">
        <v>328</v>
      </c>
      <c r="F147" s="32" t="s">
        <v>1134</v>
      </c>
      <c r="G147" s="31">
        <v>1</v>
      </c>
      <c r="H147" s="31">
        <v>0</v>
      </c>
      <c r="I147" s="32" t="s">
        <v>1127</v>
      </c>
      <c r="J147" s="32" t="s">
        <v>1135</v>
      </c>
      <c r="K147" s="32" t="s">
        <v>1136</v>
      </c>
      <c r="L147" s="32" t="s">
        <v>1130</v>
      </c>
      <c r="M147" s="31">
        <v>0</v>
      </c>
      <c r="N147" s="31">
        <v>1</v>
      </c>
      <c r="O147" s="31" t="s">
        <v>726</v>
      </c>
      <c r="P147" s="31" t="s">
        <v>702</v>
      </c>
      <c r="Q147" s="31" t="s">
        <v>701</v>
      </c>
      <c r="R147" s="31"/>
      <c r="S147" s="31" t="s">
        <v>706</v>
      </c>
      <c r="T147" s="53" t="s">
        <v>1758</v>
      </c>
    </row>
    <row r="148" spans="1:20" ht="105" customHeight="1">
      <c r="A148" s="31">
        <v>81</v>
      </c>
      <c r="B148" s="31">
        <v>271</v>
      </c>
      <c r="C148" s="31" t="s">
        <v>441</v>
      </c>
      <c r="D148" s="31">
        <v>1351</v>
      </c>
      <c r="E148" s="31" t="s">
        <v>243</v>
      </c>
      <c r="F148" s="32" t="s">
        <v>443</v>
      </c>
      <c r="G148" s="31">
        <v>1</v>
      </c>
      <c r="H148" s="31">
        <v>0</v>
      </c>
      <c r="I148" s="32" t="s">
        <v>1137</v>
      </c>
      <c r="J148" s="32" t="s">
        <v>1138</v>
      </c>
      <c r="K148" s="32" t="s">
        <v>1139</v>
      </c>
      <c r="L148" s="32" t="s">
        <v>1140</v>
      </c>
      <c r="M148" s="31">
        <v>2</v>
      </c>
      <c r="N148" s="31">
        <v>1</v>
      </c>
      <c r="O148" s="31" t="s">
        <v>700</v>
      </c>
      <c r="P148" s="31" t="s">
        <v>702</v>
      </c>
      <c r="Q148" s="31" t="s">
        <v>701</v>
      </c>
      <c r="R148" s="31"/>
      <c r="S148" s="31" t="s">
        <v>706</v>
      </c>
      <c r="T148" s="53" t="s">
        <v>1759</v>
      </c>
    </row>
    <row r="149" spans="1:20" ht="105" customHeight="1">
      <c r="A149" s="31">
        <v>81</v>
      </c>
      <c r="B149" s="31">
        <v>271</v>
      </c>
      <c r="C149" s="31" t="s">
        <v>441</v>
      </c>
      <c r="D149" s="31">
        <v>1354</v>
      </c>
      <c r="E149" s="31" t="s">
        <v>243</v>
      </c>
      <c r="F149" s="32" t="s">
        <v>1141</v>
      </c>
      <c r="G149" s="31">
        <v>1</v>
      </c>
      <c r="H149" s="31">
        <v>0</v>
      </c>
      <c r="I149" s="32" t="s">
        <v>1137</v>
      </c>
      <c r="J149" s="32" t="s">
        <v>1142</v>
      </c>
      <c r="K149" s="32" t="s">
        <v>1143</v>
      </c>
      <c r="L149" s="32" t="s">
        <v>1140</v>
      </c>
      <c r="M149" s="31">
        <v>0</v>
      </c>
      <c r="N149" s="31">
        <v>1</v>
      </c>
      <c r="O149" s="31" t="s">
        <v>726</v>
      </c>
      <c r="P149" s="31" t="s">
        <v>702</v>
      </c>
      <c r="Q149" s="31" t="s">
        <v>701</v>
      </c>
      <c r="R149" s="31"/>
      <c r="S149" s="31" t="s">
        <v>706</v>
      </c>
      <c r="T149" s="53" t="s">
        <v>1759</v>
      </c>
    </row>
    <row r="150" spans="1:20" ht="105" customHeight="1">
      <c r="A150" s="31">
        <v>82</v>
      </c>
      <c r="B150" s="31">
        <v>276</v>
      </c>
      <c r="C150" s="31" t="s">
        <v>444</v>
      </c>
      <c r="D150" s="31">
        <v>1377</v>
      </c>
      <c r="E150" s="31" t="s">
        <v>96</v>
      </c>
      <c r="F150" s="32" t="s">
        <v>446</v>
      </c>
      <c r="G150" s="31">
        <v>1</v>
      </c>
      <c r="H150" s="31">
        <v>0</v>
      </c>
      <c r="I150" s="32" t="s">
        <v>1144</v>
      </c>
      <c r="J150" s="32" t="s">
        <v>1145</v>
      </c>
      <c r="K150" s="32" t="s">
        <v>1146</v>
      </c>
      <c r="L150" s="32" t="s">
        <v>1147</v>
      </c>
      <c r="M150" s="31">
        <v>1</v>
      </c>
      <c r="N150" s="31">
        <v>1</v>
      </c>
      <c r="O150" s="31" t="s">
        <v>762</v>
      </c>
      <c r="P150" s="31" t="s">
        <v>701</v>
      </c>
      <c r="Q150" s="31" t="s">
        <v>701</v>
      </c>
      <c r="R150" s="31"/>
      <c r="S150" s="31" t="s">
        <v>1720</v>
      </c>
      <c r="T150" s="53" t="s">
        <v>1760</v>
      </c>
    </row>
    <row r="151" spans="1:20" ht="105" customHeight="1">
      <c r="A151" s="31">
        <v>83</v>
      </c>
      <c r="B151" s="31">
        <v>278</v>
      </c>
      <c r="C151" s="31" t="s">
        <v>447</v>
      </c>
      <c r="D151" s="31">
        <v>1388</v>
      </c>
      <c r="E151" s="31" t="s">
        <v>360</v>
      </c>
      <c r="F151" s="32" t="s">
        <v>449</v>
      </c>
      <c r="G151" s="31">
        <v>1</v>
      </c>
      <c r="H151" s="31">
        <v>0</v>
      </c>
      <c r="I151" s="32" t="s">
        <v>1148</v>
      </c>
      <c r="J151" s="32" t="s">
        <v>1149</v>
      </c>
      <c r="K151" s="32" t="s">
        <v>1150</v>
      </c>
      <c r="L151" s="32" t="s">
        <v>1151</v>
      </c>
      <c r="M151" s="31">
        <v>2</v>
      </c>
      <c r="N151" s="31">
        <v>2</v>
      </c>
      <c r="O151" s="31" t="s">
        <v>762</v>
      </c>
      <c r="P151" s="31" t="s">
        <v>702</v>
      </c>
      <c r="Q151" s="31" t="s">
        <v>701</v>
      </c>
      <c r="R151" s="31"/>
      <c r="S151" s="31" t="s">
        <v>706</v>
      </c>
      <c r="T151" s="53" t="s">
        <v>1761</v>
      </c>
    </row>
    <row r="152" spans="1:20" ht="105" customHeight="1">
      <c r="A152" s="31">
        <v>84</v>
      </c>
      <c r="B152" s="31">
        <v>283</v>
      </c>
      <c r="C152" s="31" t="s">
        <v>450</v>
      </c>
      <c r="D152" s="31">
        <v>1412</v>
      </c>
      <c r="E152" s="31" t="s">
        <v>41</v>
      </c>
      <c r="F152" s="32" t="s">
        <v>452</v>
      </c>
      <c r="G152" s="31">
        <v>1</v>
      </c>
      <c r="H152" s="31">
        <v>0</v>
      </c>
      <c r="I152" s="32" t="s">
        <v>1152</v>
      </c>
      <c r="J152" s="32" t="s">
        <v>1153</v>
      </c>
      <c r="K152" s="32" t="s">
        <v>1154</v>
      </c>
      <c r="L152" s="32" t="s">
        <v>1155</v>
      </c>
      <c r="M152" s="31">
        <v>58</v>
      </c>
      <c r="N152" s="31">
        <v>27</v>
      </c>
      <c r="O152" s="31" t="s">
        <v>700</v>
      </c>
      <c r="P152" s="31" t="s">
        <v>702</v>
      </c>
      <c r="Q152" s="31" t="s">
        <v>701</v>
      </c>
      <c r="R152" s="31"/>
      <c r="S152" s="31" t="s">
        <v>706</v>
      </c>
      <c r="T152" s="53" t="s">
        <v>1762</v>
      </c>
    </row>
    <row r="153" spans="1:20" ht="105" customHeight="1">
      <c r="A153" s="31">
        <v>85</v>
      </c>
      <c r="B153" s="31">
        <v>286</v>
      </c>
      <c r="C153" s="31" t="s">
        <v>453</v>
      </c>
      <c r="D153" s="31">
        <v>1429</v>
      </c>
      <c r="E153" s="31" t="s">
        <v>57</v>
      </c>
      <c r="F153" s="32" t="s">
        <v>455</v>
      </c>
      <c r="G153" s="31">
        <v>1</v>
      </c>
      <c r="H153" s="31">
        <v>0</v>
      </c>
      <c r="I153" s="32" t="s">
        <v>1156</v>
      </c>
      <c r="J153" s="32" t="s">
        <v>1157</v>
      </c>
      <c r="K153" s="32" t="s">
        <v>1158</v>
      </c>
      <c r="L153" s="32" t="s">
        <v>1159</v>
      </c>
      <c r="M153" s="31">
        <v>2</v>
      </c>
      <c r="N153" s="31">
        <v>1</v>
      </c>
      <c r="O153" s="31" t="s">
        <v>762</v>
      </c>
      <c r="P153" s="31" t="s">
        <v>702</v>
      </c>
      <c r="Q153" s="31" t="s">
        <v>701</v>
      </c>
      <c r="R153" s="31"/>
      <c r="S153" s="31" t="s">
        <v>706</v>
      </c>
      <c r="T153" s="53" t="s">
        <v>1763</v>
      </c>
    </row>
    <row r="154" spans="1:20" ht="105" customHeight="1">
      <c r="A154" s="31">
        <v>86</v>
      </c>
      <c r="B154" s="31">
        <v>287</v>
      </c>
      <c r="C154" s="31" t="s">
        <v>70</v>
      </c>
      <c r="D154" s="31">
        <v>1430</v>
      </c>
      <c r="E154" s="31" t="s">
        <v>41</v>
      </c>
      <c r="F154" s="32" t="s">
        <v>141</v>
      </c>
      <c r="G154" s="31">
        <v>0</v>
      </c>
      <c r="H154" s="31">
        <v>0</v>
      </c>
      <c r="I154" s="32" t="s">
        <v>142</v>
      </c>
      <c r="J154" s="32" t="s">
        <v>1160</v>
      </c>
      <c r="K154" s="32" t="s">
        <v>1161</v>
      </c>
      <c r="L154" s="32" t="s">
        <v>143</v>
      </c>
      <c r="M154" s="31">
        <v>1</v>
      </c>
      <c r="N154" s="31">
        <v>1</v>
      </c>
      <c r="O154" s="31" t="s">
        <v>762</v>
      </c>
      <c r="P154" s="31" t="s">
        <v>701</v>
      </c>
      <c r="Q154" s="31" t="s">
        <v>701</v>
      </c>
      <c r="R154" s="31" t="s">
        <v>23</v>
      </c>
      <c r="S154" s="53" t="s">
        <v>1765</v>
      </c>
      <c r="T154" s="53" t="s">
        <v>1764</v>
      </c>
    </row>
    <row r="155" spans="1:20" ht="105" customHeight="1">
      <c r="A155" s="31">
        <v>86</v>
      </c>
      <c r="B155" s="31">
        <v>287</v>
      </c>
      <c r="C155" s="31" t="s">
        <v>70</v>
      </c>
      <c r="D155" s="31">
        <v>1431</v>
      </c>
      <c r="E155" s="31" t="s">
        <v>41</v>
      </c>
      <c r="F155" s="32" t="s">
        <v>1162</v>
      </c>
      <c r="G155" s="31">
        <v>0</v>
      </c>
      <c r="H155" s="31">
        <v>0</v>
      </c>
      <c r="I155" s="32" t="s">
        <v>142</v>
      </c>
      <c r="J155" s="32" t="s">
        <v>1160</v>
      </c>
      <c r="K155" s="32" t="s">
        <v>1161</v>
      </c>
      <c r="L155" s="32" t="s">
        <v>143</v>
      </c>
      <c r="M155" s="31">
        <v>1</v>
      </c>
      <c r="N155" s="31">
        <v>1</v>
      </c>
      <c r="O155" s="31" t="s">
        <v>762</v>
      </c>
      <c r="P155" s="31" t="s">
        <v>701</v>
      </c>
      <c r="Q155" s="31" t="s">
        <v>701</v>
      </c>
      <c r="R155" s="31" t="s">
        <v>23</v>
      </c>
      <c r="S155" s="53" t="s">
        <v>1765</v>
      </c>
      <c r="T155" s="53" t="s">
        <v>1764</v>
      </c>
    </row>
    <row r="156" spans="1:20" ht="105" customHeight="1">
      <c r="A156" s="31">
        <v>86</v>
      </c>
      <c r="B156" s="31">
        <v>287</v>
      </c>
      <c r="C156" s="31" t="s">
        <v>70</v>
      </c>
      <c r="D156" s="31">
        <v>1432</v>
      </c>
      <c r="E156" s="31" t="s">
        <v>41</v>
      </c>
      <c r="F156" s="32" t="s">
        <v>1163</v>
      </c>
      <c r="G156" s="31">
        <v>0</v>
      </c>
      <c r="H156" s="31">
        <v>0</v>
      </c>
      <c r="I156" s="32" t="s">
        <v>142</v>
      </c>
      <c r="J156" s="32" t="s">
        <v>142</v>
      </c>
      <c r="K156" s="32" t="s">
        <v>1161</v>
      </c>
      <c r="L156" s="32" t="s">
        <v>143</v>
      </c>
      <c r="M156" s="31">
        <v>1</v>
      </c>
      <c r="N156" s="31">
        <v>1</v>
      </c>
      <c r="O156" s="31" t="s">
        <v>762</v>
      </c>
      <c r="P156" s="31" t="s">
        <v>701</v>
      </c>
      <c r="Q156" s="31" t="s">
        <v>701</v>
      </c>
      <c r="R156" s="31" t="s">
        <v>23</v>
      </c>
      <c r="S156" s="53" t="s">
        <v>1765</v>
      </c>
      <c r="T156" s="53" t="s">
        <v>1764</v>
      </c>
    </row>
    <row r="157" spans="1:20" ht="105" customHeight="1">
      <c r="A157" s="31">
        <v>86</v>
      </c>
      <c r="B157" s="31">
        <v>287</v>
      </c>
      <c r="C157" s="31" t="s">
        <v>70</v>
      </c>
      <c r="D157" s="31">
        <v>1433</v>
      </c>
      <c r="E157" s="31" t="s">
        <v>41</v>
      </c>
      <c r="F157" s="32" t="s">
        <v>1164</v>
      </c>
      <c r="G157" s="31">
        <v>0</v>
      </c>
      <c r="H157" s="31">
        <v>0</v>
      </c>
      <c r="I157" s="32" t="s">
        <v>142</v>
      </c>
      <c r="J157" s="32" t="s">
        <v>1160</v>
      </c>
      <c r="K157" s="32" t="s">
        <v>1161</v>
      </c>
      <c r="L157" s="32" t="s">
        <v>143</v>
      </c>
      <c r="M157" s="31">
        <v>1</v>
      </c>
      <c r="N157" s="31">
        <v>1</v>
      </c>
      <c r="O157" s="31" t="s">
        <v>762</v>
      </c>
      <c r="P157" s="31" t="s">
        <v>701</v>
      </c>
      <c r="Q157" s="31" t="s">
        <v>701</v>
      </c>
      <c r="R157" s="31" t="s">
        <v>23</v>
      </c>
      <c r="S157" s="53" t="s">
        <v>1765</v>
      </c>
      <c r="T157" s="53" t="s">
        <v>1764</v>
      </c>
    </row>
    <row r="158" spans="1:20" ht="105" customHeight="1">
      <c r="A158" s="31">
        <v>86</v>
      </c>
      <c r="B158" s="31">
        <v>287</v>
      </c>
      <c r="C158" s="31" t="s">
        <v>70</v>
      </c>
      <c r="D158" s="31">
        <v>1434</v>
      </c>
      <c r="E158" s="31" t="s">
        <v>41</v>
      </c>
      <c r="F158" s="32" t="s">
        <v>1165</v>
      </c>
      <c r="G158" s="31">
        <v>0</v>
      </c>
      <c r="H158" s="31">
        <v>0</v>
      </c>
      <c r="I158" s="32" t="s">
        <v>142</v>
      </c>
      <c r="J158" s="32" t="s">
        <v>1166</v>
      </c>
      <c r="K158" s="32" t="s">
        <v>1167</v>
      </c>
      <c r="L158" s="32" t="s">
        <v>143</v>
      </c>
      <c r="M158" s="31">
        <v>0</v>
      </c>
      <c r="N158" s="31">
        <v>1</v>
      </c>
      <c r="O158" s="31" t="s">
        <v>726</v>
      </c>
      <c r="P158" s="31" t="s">
        <v>701</v>
      </c>
      <c r="Q158" s="31" t="s">
        <v>701</v>
      </c>
      <c r="R158" s="31" t="s">
        <v>23</v>
      </c>
      <c r="S158" s="53" t="s">
        <v>1765</v>
      </c>
      <c r="T158" s="53" t="s">
        <v>1764</v>
      </c>
    </row>
    <row r="159" spans="1:20" ht="105" customHeight="1">
      <c r="A159" s="31">
        <v>87</v>
      </c>
      <c r="B159" s="31">
        <v>294</v>
      </c>
      <c r="C159" s="31" t="s">
        <v>457</v>
      </c>
      <c r="D159" s="31">
        <v>1467</v>
      </c>
      <c r="E159" s="31" t="s">
        <v>269</v>
      </c>
      <c r="F159" s="32" t="s">
        <v>459</v>
      </c>
      <c r="G159" s="31">
        <v>1</v>
      </c>
      <c r="H159" s="31">
        <v>0</v>
      </c>
      <c r="I159" s="32" t="s">
        <v>1168</v>
      </c>
      <c r="J159" s="32" t="s">
        <v>1169</v>
      </c>
      <c r="K159" s="32" t="s">
        <v>1170</v>
      </c>
      <c r="L159" s="32" t="s">
        <v>1171</v>
      </c>
      <c r="M159" s="31">
        <v>0</v>
      </c>
      <c r="N159" s="31">
        <v>1</v>
      </c>
      <c r="O159" s="31" t="s">
        <v>726</v>
      </c>
      <c r="P159" s="31" t="s">
        <v>702</v>
      </c>
      <c r="Q159" s="31" t="s">
        <v>701</v>
      </c>
      <c r="R159" s="31"/>
      <c r="S159" s="31" t="s">
        <v>706</v>
      </c>
      <c r="T159" s="53" t="s">
        <v>1766</v>
      </c>
    </row>
    <row r="160" spans="1:20" ht="105" customHeight="1">
      <c r="A160" s="31">
        <v>87</v>
      </c>
      <c r="B160" s="31">
        <v>294</v>
      </c>
      <c r="C160" s="31" t="s">
        <v>457</v>
      </c>
      <c r="D160" s="31">
        <v>1468</v>
      </c>
      <c r="E160" s="31" t="s">
        <v>269</v>
      </c>
      <c r="F160" s="32" t="s">
        <v>1172</v>
      </c>
      <c r="G160" s="31">
        <v>1</v>
      </c>
      <c r="H160" s="31">
        <v>0</v>
      </c>
      <c r="I160" s="32" t="s">
        <v>1168</v>
      </c>
      <c r="J160" s="32" t="s">
        <v>1173</v>
      </c>
      <c r="K160" s="32" t="s">
        <v>1174</v>
      </c>
      <c r="L160" s="32" t="s">
        <v>1171</v>
      </c>
      <c r="M160" s="31">
        <v>0</v>
      </c>
      <c r="N160" s="31">
        <v>1</v>
      </c>
      <c r="O160" s="31" t="s">
        <v>726</v>
      </c>
      <c r="P160" s="31" t="s">
        <v>701</v>
      </c>
      <c r="Q160" s="31" t="s">
        <v>701</v>
      </c>
      <c r="R160" s="31" t="s">
        <v>1767</v>
      </c>
      <c r="S160" s="31" t="s">
        <v>1768</v>
      </c>
      <c r="T160" s="53" t="s">
        <v>1766</v>
      </c>
    </row>
    <row r="161" spans="1:20" ht="105" customHeight="1">
      <c r="A161" s="31">
        <v>88</v>
      </c>
      <c r="B161" s="31">
        <v>296</v>
      </c>
      <c r="C161" s="31" t="s">
        <v>460</v>
      </c>
      <c r="D161" s="31">
        <v>1477</v>
      </c>
      <c r="E161" s="31" t="s">
        <v>63</v>
      </c>
      <c r="F161" s="32" t="s">
        <v>462</v>
      </c>
      <c r="G161" s="31">
        <v>1</v>
      </c>
      <c r="H161" s="31">
        <v>0</v>
      </c>
      <c r="I161" s="32" t="s">
        <v>1175</v>
      </c>
      <c r="J161" s="32" t="s">
        <v>1176</v>
      </c>
      <c r="K161" s="32" t="s">
        <v>1177</v>
      </c>
      <c r="L161" s="32" t="s">
        <v>1178</v>
      </c>
      <c r="M161" s="31">
        <v>2</v>
      </c>
      <c r="N161" s="31">
        <v>2</v>
      </c>
      <c r="O161" s="31" t="s">
        <v>769</v>
      </c>
      <c r="P161" s="31" t="s">
        <v>702</v>
      </c>
      <c r="Q161" s="31" t="s">
        <v>701</v>
      </c>
      <c r="R161" s="31"/>
      <c r="S161" s="31" t="s">
        <v>706</v>
      </c>
      <c r="T161" s="53" t="s">
        <v>1769</v>
      </c>
    </row>
    <row r="162" spans="1:20" ht="105" customHeight="1">
      <c r="A162" s="31">
        <v>89</v>
      </c>
      <c r="B162" s="31">
        <v>298</v>
      </c>
      <c r="C162" s="31" t="s">
        <v>463</v>
      </c>
      <c r="D162" s="31">
        <v>1489</v>
      </c>
      <c r="E162" s="31" t="s">
        <v>328</v>
      </c>
      <c r="F162" s="32" t="s">
        <v>465</v>
      </c>
      <c r="G162" s="31">
        <v>1</v>
      </c>
      <c r="H162" s="31">
        <v>0</v>
      </c>
      <c r="I162" s="32" t="s">
        <v>1179</v>
      </c>
      <c r="J162" s="32" t="s">
        <v>1180</v>
      </c>
      <c r="K162" s="32" t="s">
        <v>1181</v>
      </c>
      <c r="L162" s="32" t="s">
        <v>1182</v>
      </c>
      <c r="M162" s="31">
        <v>10</v>
      </c>
      <c r="N162" s="31">
        <v>10</v>
      </c>
      <c r="O162" s="31" t="s">
        <v>769</v>
      </c>
      <c r="P162" s="31" t="s">
        <v>702</v>
      </c>
      <c r="Q162" s="31" t="s">
        <v>701</v>
      </c>
      <c r="R162" s="31"/>
      <c r="S162" s="31" t="s">
        <v>706</v>
      </c>
      <c r="T162" s="53" t="s">
        <v>1770</v>
      </c>
    </row>
    <row r="163" spans="1:20" ht="105" customHeight="1">
      <c r="A163" s="31">
        <v>90</v>
      </c>
      <c r="B163" s="31">
        <v>299</v>
      </c>
      <c r="C163" s="31" t="s">
        <v>466</v>
      </c>
      <c r="D163" s="31">
        <v>1493</v>
      </c>
      <c r="E163" s="31" t="s">
        <v>328</v>
      </c>
      <c r="F163" s="32" t="s">
        <v>468</v>
      </c>
      <c r="G163" s="31">
        <v>1</v>
      </c>
      <c r="H163" s="31">
        <v>0</v>
      </c>
      <c r="I163" s="32" t="s">
        <v>1183</v>
      </c>
      <c r="J163" s="32" t="s">
        <v>1184</v>
      </c>
      <c r="K163" s="32" t="s">
        <v>1185</v>
      </c>
      <c r="L163" s="32" t="s">
        <v>1186</v>
      </c>
      <c r="M163" s="31">
        <v>0</v>
      </c>
      <c r="N163" s="31">
        <v>3</v>
      </c>
      <c r="O163" s="31" t="s">
        <v>726</v>
      </c>
      <c r="P163" s="31" t="s">
        <v>702</v>
      </c>
      <c r="Q163" s="31" t="s">
        <v>701</v>
      </c>
      <c r="R163" s="31"/>
      <c r="S163" s="31" t="s">
        <v>706</v>
      </c>
      <c r="T163" s="53" t="s">
        <v>1771</v>
      </c>
    </row>
    <row r="164" spans="1:20" ht="105" customHeight="1">
      <c r="A164" s="31">
        <v>90</v>
      </c>
      <c r="B164" s="31">
        <v>299</v>
      </c>
      <c r="C164" s="31" t="s">
        <v>466</v>
      </c>
      <c r="D164" s="31">
        <v>1494</v>
      </c>
      <c r="E164" s="31" t="s">
        <v>328</v>
      </c>
      <c r="F164" s="32" t="s">
        <v>1187</v>
      </c>
      <c r="G164" s="31">
        <v>1</v>
      </c>
      <c r="H164" s="31">
        <v>0</v>
      </c>
      <c r="I164" s="32" t="s">
        <v>1183</v>
      </c>
      <c r="J164" s="32" t="s">
        <v>1188</v>
      </c>
      <c r="K164" s="32" t="s">
        <v>1189</v>
      </c>
      <c r="L164" s="32" t="s">
        <v>1186</v>
      </c>
      <c r="M164" s="31">
        <v>0</v>
      </c>
      <c r="N164" s="31">
        <v>3</v>
      </c>
      <c r="O164" s="31" t="s">
        <v>726</v>
      </c>
      <c r="P164" s="31" t="s">
        <v>702</v>
      </c>
      <c r="Q164" s="31" t="s">
        <v>701</v>
      </c>
      <c r="R164" s="31"/>
      <c r="S164" s="31" t="s">
        <v>706</v>
      </c>
      <c r="T164" s="53" t="s">
        <v>1771</v>
      </c>
    </row>
    <row r="165" spans="1:20" ht="105" customHeight="1">
      <c r="A165" s="31">
        <v>91</v>
      </c>
      <c r="B165" s="31">
        <v>305</v>
      </c>
      <c r="C165" s="31" t="s">
        <v>469</v>
      </c>
      <c r="D165" s="31">
        <v>1524</v>
      </c>
      <c r="E165" s="31" t="s">
        <v>46</v>
      </c>
      <c r="F165" s="32" t="s">
        <v>471</v>
      </c>
      <c r="G165" s="31">
        <v>1</v>
      </c>
      <c r="H165" s="31">
        <v>0</v>
      </c>
      <c r="I165" s="32" t="s">
        <v>1190</v>
      </c>
      <c r="J165" s="32" t="s">
        <v>1191</v>
      </c>
      <c r="K165" s="32" t="s">
        <v>1192</v>
      </c>
      <c r="L165" s="32" t="s">
        <v>1193</v>
      </c>
      <c r="M165" s="31">
        <v>1</v>
      </c>
      <c r="N165" s="31">
        <v>1</v>
      </c>
      <c r="O165" s="31" t="s">
        <v>762</v>
      </c>
      <c r="P165" s="31" t="s">
        <v>701</v>
      </c>
      <c r="Q165" s="31" t="s">
        <v>701</v>
      </c>
      <c r="R165" s="31"/>
      <c r="S165" s="31" t="s">
        <v>1768</v>
      </c>
      <c r="T165" s="53" t="s">
        <v>1772</v>
      </c>
    </row>
    <row r="166" spans="1:20" ht="105" customHeight="1">
      <c r="A166" s="31">
        <v>92</v>
      </c>
      <c r="B166" s="31">
        <v>306</v>
      </c>
      <c r="C166" s="31" t="s">
        <v>472</v>
      </c>
      <c r="D166" s="31">
        <v>1525</v>
      </c>
      <c r="E166" s="31" t="s">
        <v>96</v>
      </c>
      <c r="F166" s="32" t="s">
        <v>474</v>
      </c>
      <c r="G166" s="31">
        <v>1</v>
      </c>
      <c r="H166" s="31">
        <v>0</v>
      </c>
      <c r="I166" s="32" t="s">
        <v>1194</v>
      </c>
      <c r="J166" s="32" t="s">
        <v>1195</v>
      </c>
      <c r="K166" s="32" t="s">
        <v>1196</v>
      </c>
      <c r="L166" s="32" t="s">
        <v>1197</v>
      </c>
      <c r="M166" s="31">
        <v>1</v>
      </c>
      <c r="N166" s="31">
        <v>1</v>
      </c>
      <c r="O166" s="31" t="s">
        <v>769</v>
      </c>
      <c r="P166" s="31" t="s">
        <v>702</v>
      </c>
      <c r="Q166" s="31" t="s">
        <v>701</v>
      </c>
      <c r="R166" s="31"/>
      <c r="S166" s="31" t="s">
        <v>706</v>
      </c>
      <c r="T166" s="53" t="s">
        <v>1773</v>
      </c>
    </row>
    <row r="167" spans="1:20" ht="105" customHeight="1">
      <c r="A167" s="31">
        <v>92</v>
      </c>
      <c r="B167" s="31">
        <v>306</v>
      </c>
      <c r="C167" s="31" t="s">
        <v>472</v>
      </c>
      <c r="D167" s="31">
        <v>1527</v>
      </c>
      <c r="E167" s="31" t="s">
        <v>96</v>
      </c>
      <c r="F167" s="32" t="s">
        <v>1198</v>
      </c>
      <c r="G167" s="31">
        <v>1</v>
      </c>
      <c r="H167" s="31">
        <v>0</v>
      </c>
      <c r="I167" s="32" t="s">
        <v>1194</v>
      </c>
      <c r="J167" s="32" t="s">
        <v>1199</v>
      </c>
      <c r="K167" s="32" t="s">
        <v>1196</v>
      </c>
      <c r="L167" s="32" t="s">
        <v>1197</v>
      </c>
      <c r="M167" s="31">
        <v>1</v>
      </c>
      <c r="N167" s="31">
        <v>1</v>
      </c>
      <c r="O167" s="31" t="s">
        <v>769</v>
      </c>
      <c r="P167" s="31" t="s">
        <v>702</v>
      </c>
      <c r="Q167" s="31" t="s">
        <v>701</v>
      </c>
      <c r="R167" s="31"/>
      <c r="S167" s="31" t="s">
        <v>706</v>
      </c>
      <c r="T167" s="53" t="s">
        <v>1773</v>
      </c>
    </row>
    <row r="168" spans="1:20" ht="105" customHeight="1">
      <c r="A168" s="31">
        <v>93</v>
      </c>
      <c r="B168" s="31">
        <v>315</v>
      </c>
      <c r="C168" s="31" t="s">
        <v>475</v>
      </c>
      <c r="D168" s="31">
        <v>1573</v>
      </c>
      <c r="E168" s="31" t="s">
        <v>46</v>
      </c>
      <c r="F168" s="32" t="s">
        <v>477</v>
      </c>
      <c r="G168" s="31">
        <v>1</v>
      </c>
      <c r="H168" s="31">
        <v>0</v>
      </c>
      <c r="I168" s="32" t="s">
        <v>1200</v>
      </c>
      <c r="J168" s="32" t="s">
        <v>1201</v>
      </c>
      <c r="K168" s="32" t="s">
        <v>1202</v>
      </c>
      <c r="L168" s="32" t="s">
        <v>1203</v>
      </c>
      <c r="M168" s="31">
        <v>7</v>
      </c>
      <c r="N168" s="31">
        <v>7</v>
      </c>
      <c r="O168" s="31" t="s">
        <v>762</v>
      </c>
      <c r="P168" s="31" t="s">
        <v>701</v>
      </c>
      <c r="Q168" s="31" t="s">
        <v>701</v>
      </c>
      <c r="R168" s="31"/>
      <c r="S168" s="31" t="s">
        <v>1720</v>
      </c>
      <c r="T168" s="53" t="s">
        <v>1774</v>
      </c>
    </row>
    <row r="169" spans="1:20" ht="105" customHeight="1">
      <c r="A169" s="31">
        <v>94</v>
      </c>
      <c r="B169" s="31">
        <v>316</v>
      </c>
      <c r="C169" s="31" t="s">
        <v>478</v>
      </c>
      <c r="D169" s="31">
        <v>1576</v>
      </c>
      <c r="E169" s="31" t="s">
        <v>218</v>
      </c>
      <c r="F169" s="32" t="s">
        <v>480</v>
      </c>
      <c r="G169" s="31">
        <v>1</v>
      </c>
      <c r="H169" s="31">
        <v>0</v>
      </c>
      <c r="I169" s="32" t="s">
        <v>1204</v>
      </c>
      <c r="J169" s="32" t="s">
        <v>1205</v>
      </c>
      <c r="K169" s="32" t="s">
        <v>1206</v>
      </c>
      <c r="L169" s="32" t="s">
        <v>1207</v>
      </c>
      <c r="M169" s="31">
        <v>6</v>
      </c>
      <c r="N169" s="31">
        <v>8</v>
      </c>
      <c r="O169" s="31" t="s">
        <v>796</v>
      </c>
      <c r="P169" s="31" t="s">
        <v>701</v>
      </c>
      <c r="Q169" s="31" t="s">
        <v>701</v>
      </c>
      <c r="R169" s="31"/>
      <c r="S169" s="31" t="s">
        <v>1768</v>
      </c>
      <c r="T169" s="53" t="s">
        <v>1775</v>
      </c>
    </row>
    <row r="170" spans="1:20" ht="105" customHeight="1">
      <c r="A170" s="31">
        <v>95</v>
      </c>
      <c r="B170" s="31">
        <v>320</v>
      </c>
      <c r="C170" s="31" t="s">
        <v>481</v>
      </c>
      <c r="D170" s="31">
        <v>1599</v>
      </c>
      <c r="E170" s="31" t="s">
        <v>46</v>
      </c>
      <c r="F170" s="32" t="s">
        <v>483</v>
      </c>
      <c r="G170" s="31">
        <v>1</v>
      </c>
      <c r="H170" s="31">
        <v>0</v>
      </c>
      <c r="I170" s="32" t="s">
        <v>1208</v>
      </c>
      <c r="J170" s="32" t="s">
        <v>1209</v>
      </c>
      <c r="K170" s="32" t="s">
        <v>1210</v>
      </c>
      <c r="L170" s="32" t="s">
        <v>1211</v>
      </c>
      <c r="M170" s="31">
        <v>17</v>
      </c>
      <c r="N170" s="31">
        <v>17</v>
      </c>
      <c r="O170" s="31" t="s">
        <v>721</v>
      </c>
      <c r="P170" s="31" t="s">
        <v>701</v>
      </c>
      <c r="Q170" s="31" t="s">
        <v>701</v>
      </c>
      <c r="R170" s="31"/>
      <c r="S170" s="31" t="s">
        <v>1768</v>
      </c>
      <c r="T170" s="53" t="s">
        <v>1776</v>
      </c>
    </row>
    <row r="171" spans="1:20" ht="105" customHeight="1">
      <c r="A171" s="31">
        <v>96</v>
      </c>
      <c r="B171" s="31">
        <v>322</v>
      </c>
      <c r="C171" s="31" t="s">
        <v>484</v>
      </c>
      <c r="D171" s="31">
        <v>1608</v>
      </c>
      <c r="E171" s="31" t="s">
        <v>236</v>
      </c>
      <c r="F171" s="32" t="s">
        <v>486</v>
      </c>
      <c r="G171" s="31">
        <v>1</v>
      </c>
      <c r="H171" s="31">
        <v>0</v>
      </c>
      <c r="I171" s="32" t="s">
        <v>1212</v>
      </c>
      <c r="J171" s="32" t="s">
        <v>1213</v>
      </c>
      <c r="K171" s="32" t="s">
        <v>1214</v>
      </c>
      <c r="L171" s="32" t="s">
        <v>1215</v>
      </c>
      <c r="M171" s="31">
        <v>7</v>
      </c>
      <c r="N171" s="31">
        <v>7</v>
      </c>
      <c r="O171" s="31" t="s">
        <v>796</v>
      </c>
      <c r="P171" s="31" t="s">
        <v>702</v>
      </c>
      <c r="Q171" s="31" t="s">
        <v>701</v>
      </c>
      <c r="R171" s="31"/>
      <c r="S171" s="31" t="s">
        <v>706</v>
      </c>
      <c r="T171" s="53" t="s">
        <v>1777</v>
      </c>
    </row>
    <row r="172" spans="1:20" ht="105" customHeight="1">
      <c r="A172" s="31">
        <v>97</v>
      </c>
      <c r="B172" s="31">
        <v>324</v>
      </c>
      <c r="C172" s="31" t="s">
        <v>72</v>
      </c>
      <c r="D172" s="31">
        <v>1615</v>
      </c>
      <c r="E172" s="31" t="s">
        <v>41</v>
      </c>
      <c r="F172" s="32" t="s">
        <v>144</v>
      </c>
      <c r="G172" s="31">
        <v>0</v>
      </c>
      <c r="H172" s="31">
        <v>0</v>
      </c>
      <c r="I172" s="32" t="s">
        <v>145</v>
      </c>
      <c r="J172" s="32" t="s">
        <v>1216</v>
      </c>
      <c r="K172" s="32" t="s">
        <v>1217</v>
      </c>
      <c r="L172" s="32" t="s">
        <v>146</v>
      </c>
      <c r="M172" s="31">
        <v>59</v>
      </c>
      <c r="N172" s="31">
        <v>60</v>
      </c>
      <c r="O172" s="31" t="s">
        <v>796</v>
      </c>
      <c r="P172" s="31" t="s">
        <v>702</v>
      </c>
      <c r="Q172" s="31" t="s">
        <v>701</v>
      </c>
      <c r="R172" s="31" t="s">
        <v>23</v>
      </c>
      <c r="S172" s="31" t="s">
        <v>706</v>
      </c>
      <c r="T172" s="53" t="s">
        <v>1778</v>
      </c>
    </row>
    <row r="173" spans="1:20" ht="105" customHeight="1">
      <c r="A173" s="31">
        <v>97</v>
      </c>
      <c r="B173" s="31">
        <v>324</v>
      </c>
      <c r="C173" s="31" t="s">
        <v>72</v>
      </c>
      <c r="D173" s="31">
        <v>1616</v>
      </c>
      <c r="E173" s="31" t="s">
        <v>41</v>
      </c>
      <c r="F173" s="32" t="s">
        <v>1218</v>
      </c>
      <c r="G173" s="31">
        <v>0</v>
      </c>
      <c r="H173" s="31">
        <v>0</v>
      </c>
      <c r="I173" s="32" t="s">
        <v>145</v>
      </c>
      <c r="J173" s="32" t="s">
        <v>1219</v>
      </c>
      <c r="K173" s="32" t="s">
        <v>1220</v>
      </c>
      <c r="L173" s="32" t="s">
        <v>146</v>
      </c>
      <c r="M173" s="31">
        <v>57</v>
      </c>
      <c r="N173" s="31">
        <v>60</v>
      </c>
      <c r="O173" s="31" t="s">
        <v>700</v>
      </c>
      <c r="P173" s="31" t="s">
        <v>701</v>
      </c>
      <c r="Q173" s="31" t="s">
        <v>701</v>
      </c>
      <c r="R173" s="31" t="s">
        <v>23</v>
      </c>
      <c r="S173" s="31" t="s">
        <v>1768</v>
      </c>
      <c r="T173" s="53" t="s">
        <v>1778</v>
      </c>
    </row>
    <row r="174" spans="1:20" ht="105" customHeight="1">
      <c r="A174" s="31">
        <v>97</v>
      </c>
      <c r="B174" s="31">
        <v>324</v>
      </c>
      <c r="C174" s="31" t="s">
        <v>72</v>
      </c>
      <c r="D174" s="31">
        <v>1617</v>
      </c>
      <c r="E174" s="31" t="s">
        <v>41</v>
      </c>
      <c r="F174" s="32" t="s">
        <v>1221</v>
      </c>
      <c r="G174" s="31">
        <v>0</v>
      </c>
      <c r="H174" s="31">
        <v>0</v>
      </c>
      <c r="I174" s="32" t="s">
        <v>145</v>
      </c>
      <c r="J174" s="32" t="s">
        <v>1222</v>
      </c>
      <c r="K174" s="32" t="s">
        <v>1217</v>
      </c>
      <c r="L174" s="32" t="s">
        <v>146</v>
      </c>
      <c r="M174" s="31">
        <v>59</v>
      </c>
      <c r="N174" s="31">
        <v>60</v>
      </c>
      <c r="O174" s="31" t="s">
        <v>796</v>
      </c>
      <c r="P174" s="31" t="s">
        <v>702</v>
      </c>
      <c r="Q174" s="31" t="s">
        <v>701</v>
      </c>
      <c r="R174" s="31" t="s">
        <v>23</v>
      </c>
      <c r="S174" s="31" t="s">
        <v>706</v>
      </c>
      <c r="T174" s="53" t="s">
        <v>1778</v>
      </c>
    </row>
    <row r="175" spans="1:20" ht="105" customHeight="1">
      <c r="A175" s="31">
        <v>97</v>
      </c>
      <c r="B175" s="31">
        <v>324</v>
      </c>
      <c r="C175" s="31" t="s">
        <v>72</v>
      </c>
      <c r="D175" s="31">
        <v>1619</v>
      </c>
      <c r="E175" s="31" t="s">
        <v>41</v>
      </c>
      <c r="F175" s="32" t="s">
        <v>1223</v>
      </c>
      <c r="G175" s="31">
        <v>0</v>
      </c>
      <c r="H175" s="31">
        <v>0</v>
      </c>
      <c r="I175" s="32" t="s">
        <v>145</v>
      </c>
      <c r="J175" s="32" t="s">
        <v>1222</v>
      </c>
      <c r="K175" s="32" t="s">
        <v>1217</v>
      </c>
      <c r="L175" s="32" t="s">
        <v>146</v>
      </c>
      <c r="M175" s="31">
        <v>59</v>
      </c>
      <c r="N175" s="31">
        <v>60</v>
      </c>
      <c r="O175" s="31" t="s">
        <v>796</v>
      </c>
      <c r="P175" s="31" t="s">
        <v>702</v>
      </c>
      <c r="Q175" s="31" t="s">
        <v>701</v>
      </c>
      <c r="R175" s="31" t="s">
        <v>23</v>
      </c>
      <c r="S175" s="31" t="s">
        <v>706</v>
      </c>
      <c r="T175" s="53" t="s">
        <v>1778</v>
      </c>
    </row>
    <row r="176" spans="1:20" ht="105" customHeight="1">
      <c r="A176" s="31">
        <v>98</v>
      </c>
      <c r="B176" s="31">
        <v>327</v>
      </c>
      <c r="C176" s="31" t="s">
        <v>488</v>
      </c>
      <c r="D176" s="31">
        <v>1632</v>
      </c>
      <c r="E176" s="31" t="s">
        <v>96</v>
      </c>
      <c r="F176" s="32" t="s">
        <v>490</v>
      </c>
      <c r="G176" s="31">
        <v>1</v>
      </c>
      <c r="H176" s="31">
        <v>0</v>
      </c>
      <c r="I176" s="32" t="s">
        <v>1224</v>
      </c>
      <c r="J176" s="32" t="s">
        <v>1225</v>
      </c>
      <c r="K176" s="32" t="s">
        <v>1226</v>
      </c>
      <c r="L176" s="32" t="s">
        <v>1227</v>
      </c>
      <c r="M176" s="31">
        <v>0</v>
      </c>
      <c r="N176" s="31">
        <v>4</v>
      </c>
      <c r="O176" s="31" t="s">
        <v>726</v>
      </c>
      <c r="P176" s="31" t="s">
        <v>702</v>
      </c>
      <c r="Q176" s="31" t="s">
        <v>701</v>
      </c>
      <c r="R176" s="31"/>
      <c r="S176" s="31" t="s">
        <v>706</v>
      </c>
      <c r="T176" s="53" t="s">
        <v>1779</v>
      </c>
    </row>
    <row r="177" spans="1:20" ht="105" customHeight="1">
      <c r="A177" s="31">
        <v>98</v>
      </c>
      <c r="B177" s="31">
        <v>327</v>
      </c>
      <c r="C177" s="31" t="s">
        <v>488</v>
      </c>
      <c r="D177" s="31">
        <v>1634</v>
      </c>
      <c r="E177" s="31" t="s">
        <v>96</v>
      </c>
      <c r="F177" s="32" t="s">
        <v>1228</v>
      </c>
      <c r="G177" s="31">
        <v>1</v>
      </c>
      <c r="H177" s="31">
        <v>0</v>
      </c>
      <c r="I177" s="32" t="s">
        <v>1224</v>
      </c>
      <c r="J177" s="32" t="s">
        <v>1229</v>
      </c>
      <c r="K177" s="32" t="s">
        <v>1226</v>
      </c>
      <c r="L177" s="32" t="s">
        <v>1227</v>
      </c>
      <c r="M177" s="31">
        <v>0</v>
      </c>
      <c r="N177" s="31">
        <v>4</v>
      </c>
      <c r="O177" s="31" t="s">
        <v>726</v>
      </c>
      <c r="P177" s="31" t="s">
        <v>702</v>
      </c>
      <c r="Q177" s="31" t="s">
        <v>701</v>
      </c>
      <c r="R177" s="31"/>
      <c r="S177" s="31" t="s">
        <v>706</v>
      </c>
      <c r="T177" s="53" t="s">
        <v>1779</v>
      </c>
    </row>
    <row r="178" spans="1:20" ht="105" customHeight="1">
      <c r="A178" s="31">
        <v>99</v>
      </c>
      <c r="B178" s="31">
        <v>332</v>
      </c>
      <c r="C178" s="31" t="s">
        <v>491</v>
      </c>
      <c r="D178" s="31">
        <v>1658</v>
      </c>
      <c r="E178" s="31" t="s">
        <v>67</v>
      </c>
      <c r="F178" s="32" t="s">
        <v>493</v>
      </c>
      <c r="G178" s="31">
        <v>1</v>
      </c>
      <c r="H178" s="31">
        <v>0</v>
      </c>
      <c r="I178" s="32" t="s">
        <v>1230</v>
      </c>
      <c r="J178" s="32" t="s">
        <v>1231</v>
      </c>
      <c r="K178" s="32" t="s">
        <v>1232</v>
      </c>
      <c r="L178" s="32" t="s">
        <v>1233</v>
      </c>
      <c r="M178" s="31">
        <v>0</v>
      </c>
      <c r="N178" s="31">
        <v>2</v>
      </c>
      <c r="O178" s="31" t="s">
        <v>726</v>
      </c>
      <c r="P178" s="31" t="s">
        <v>702</v>
      </c>
      <c r="Q178" s="31" t="s">
        <v>701</v>
      </c>
      <c r="R178" s="31"/>
      <c r="S178" s="31" t="s">
        <v>706</v>
      </c>
      <c r="T178" s="51" t="s">
        <v>1780</v>
      </c>
    </row>
    <row r="179" spans="1:20" ht="105" customHeight="1">
      <c r="A179" s="31">
        <v>99</v>
      </c>
      <c r="B179" s="31">
        <v>332</v>
      </c>
      <c r="C179" s="31" t="s">
        <v>491</v>
      </c>
      <c r="D179" s="31">
        <v>1659</v>
      </c>
      <c r="E179" s="31" t="s">
        <v>67</v>
      </c>
      <c r="F179" s="32" t="s">
        <v>1234</v>
      </c>
      <c r="G179" s="31">
        <v>1</v>
      </c>
      <c r="H179" s="31">
        <v>0</v>
      </c>
      <c r="I179" s="32" t="s">
        <v>1230</v>
      </c>
      <c r="J179" s="32" t="s">
        <v>1235</v>
      </c>
      <c r="K179" s="32" t="s">
        <v>1236</v>
      </c>
      <c r="L179" s="32" t="s">
        <v>1233</v>
      </c>
      <c r="M179" s="31">
        <v>0</v>
      </c>
      <c r="N179" s="31">
        <v>2</v>
      </c>
      <c r="O179" s="31" t="s">
        <v>726</v>
      </c>
      <c r="P179" s="31" t="s">
        <v>702</v>
      </c>
      <c r="Q179" s="31" t="s">
        <v>701</v>
      </c>
      <c r="R179" s="31"/>
      <c r="S179" s="31" t="s">
        <v>706</v>
      </c>
      <c r="T179" s="51" t="s">
        <v>1780</v>
      </c>
    </row>
    <row r="180" spans="1:20" ht="105" customHeight="1">
      <c r="A180" s="31">
        <v>100</v>
      </c>
      <c r="B180" s="31">
        <v>334</v>
      </c>
      <c r="C180" s="31" t="s">
        <v>494</v>
      </c>
      <c r="D180" s="31">
        <v>1667</v>
      </c>
      <c r="E180" s="31" t="s">
        <v>46</v>
      </c>
      <c r="F180" s="32" t="s">
        <v>496</v>
      </c>
      <c r="G180" s="31">
        <v>1</v>
      </c>
      <c r="H180" s="31">
        <v>0</v>
      </c>
      <c r="I180" s="32" t="s">
        <v>1237</v>
      </c>
      <c r="J180" s="32" t="s">
        <v>1238</v>
      </c>
      <c r="K180" s="32" t="s">
        <v>1239</v>
      </c>
      <c r="L180" s="32" t="s">
        <v>1240</v>
      </c>
      <c r="M180" s="31">
        <v>17</v>
      </c>
      <c r="N180" s="31">
        <v>23</v>
      </c>
      <c r="O180" s="31" t="s">
        <v>796</v>
      </c>
      <c r="P180" s="31" t="s">
        <v>701</v>
      </c>
      <c r="Q180" s="31" t="s">
        <v>701</v>
      </c>
      <c r="R180" s="31"/>
      <c r="S180" s="31" t="s">
        <v>1768</v>
      </c>
      <c r="T180" s="53" t="s">
        <v>1781</v>
      </c>
    </row>
    <row r="181" spans="1:20" ht="105" customHeight="1">
      <c r="A181" s="31">
        <v>100</v>
      </c>
      <c r="B181" s="31">
        <v>334</v>
      </c>
      <c r="C181" s="31" t="s">
        <v>494</v>
      </c>
      <c r="D181" s="31">
        <v>1668</v>
      </c>
      <c r="E181" s="31" t="s">
        <v>46</v>
      </c>
      <c r="F181" s="32" t="s">
        <v>1241</v>
      </c>
      <c r="G181" s="31">
        <v>1</v>
      </c>
      <c r="H181" s="31">
        <v>0</v>
      </c>
      <c r="I181" s="32" t="s">
        <v>1237</v>
      </c>
      <c r="J181" s="32" t="s">
        <v>1242</v>
      </c>
      <c r="K181" s="32" t="s">
        <v>1239</v>
      </c>
      <c r="L181" s="32" t="s">
        <v>1240</v>
      </c>
      <c r="M181" s="31">
        <v>17</v>
      </c>
      <c r="N181" s="31">
        <v>23</v>
      </c>
      <c r="O181" s="31" t="s">
        <v>796</v>
      </c>
      <c r="P181" s="31" t="s">
        <v>701</v>
      </c>
      <c r="Q181" s="31" t="s">
        <v>701</v>
      </c>
      <c r="R181" s="31"/>
      <c r="S181" s="31" t="s">
        <v>1768</v>
      </c>
      <c r="T181" s="53" t="s">
        <v>1781</v>
      </c>
    </row>
    <row r="182" spans="1:20" ht="105" customHeight="1">
      <c r="A182" s="31">
        <v>101</v>
      </c>
      <c r="B182" s="31">
        <v>335</v>
      </c>
      <c r="C182" s="31" t="s">
        <v>497</v>
      </c>
      <c r="D182" s="31">
        <v>1674</v>
      </c>
      <c r="E182" s="31" t="s">
        <v>269</v>
      </c>
      <c r="F182" s="32" t="s">
        <v>499</v>
      </c>
      <c r="G182" s="31">
        <v>1</v>
      </c>
      <c r="H182" s="31">
        <v>0</v>
      </c>
      <c r="I182" s="32" t="s">
        <v>1243</v>
      </c>
      <c r="J182" s="32" t="s">
        <v>1244</v>
      </c>
      <c r="K182" s="32" t="s">
        <v>1245</v>
      </c>
      <c r="L182" s="32" t="s">
        <v>1246</v>
      </c>
      <c r="M182" s="31">
        <v>1</v>
      </c>
      <c r="N182" s="31">
        <v>1</v>
      </c>
      <c r="O182" s="31" t="s">
        <v>769</v>
      </c>
      <c r="P182" s="31" t="s">
        <v>702</v>
      </c>
      <c r="Q182" s="31" t="s">
        <v>701</v>
      </c>
      <c r="R182" s="31"/>
      <c r="S182" s="31" t="s">
        <v>706</v>
      </c>
      <c r="T182" s="53" t="s">
        <v>1782</v>
      </c>
    </row>
    <row r="183" spans="1:20" ht="105" customHeight="1">
      <c r="A183" s="31">
        <v>102</v>
      </c>
      <c r="B183" s="31">
        <v>336</v>
      </c>
      <c r="C183" s="31" t="s">
        <v>500</v>
      </c>
      <c r="D183" s="31">
        <v>1679</v>
      </c>
      <c r="E183" s="31" t="s">
        <v>63</v>
      </c>
      <c r="F183" s="32" t="s">
        <v>502</v>
      </c>
      <c r="G183" s="31">
        <v>1</v>
      </c>
      <c r="H183" s="31">
        <v>0</v>
      </c>
      <c r="I183" s="32" t="s">
        <v>1247</v>
      </c>
      <c r="J183" s="32" t="s">
        <v>1248</v>
      </c>
      <c r="K183" s="32" t="s">
        <v>1249</v>
      </c>
      <c r="L183" s="32" t="s">
        <v>1250</v>
      </c>
      <c r="M183" s="31">
        <v>4</v>
      </c>
      <c r="N183" s="31">
        <v>4</v>
      </c>
      <c r="O183" s="31" t="s">
        <v>769</v>
      </c>
      <c r="P183" s="31" t="s">
        <v>702</v>
      </c>
      <c r="Q183" s="31" t="s">
        <v>701</v>
      </c>
      <c r="R183" s="31"/>
      <c r="S183" s="31" t="s">
        <v>706</v>
      </c>
      <c r="T183" s="53" t="s">
        <v>1783</v>
      </c>
    </row>
    <row r="184" spans="1:20" ht="105" customHeight="1">
      <c r="A184" s="31">
        <v>103</v>
      </c>
      <c r="B184" s="31">
        <v>341</v>
      </c>
      <c r="C184" s="31" t="s">
        <v>503</v>
      </c>
      <c r="D184" s="31">
        <v>1701</v>
      </c>
      <c r="E184" s="31" t="s">
        <v>208</v>
      </c>
      <c r="F184" s="32" t="s">
        <v>505</v>
      </c>
      <c r="G184" s="31">
        <v>1</v>
      </c>
      <c r="H184" s="31">
        <v>0</v>
      </c>
      <c r="I184" s="32" t="s">
        <v>1251</v>
      </c>
      <c r="J184" s="32" t="s">
        <v>1252</v>
      </c>
      <c r="K184" s="32" t="s">
        <v>1253</v>
      </c>
      <c r="L184" s="32" t="s">
        <v>1254</v>
      </c>
      <c r="M184" s="31">
        <v>2</v>
      </c>
      <c r="N184" s="31">
        <v>2</v>
      </c>
      <c r="O184" s="31" t="s">
        <v>721</v>
      </c>
      <c r="P184" s="31" t="s">
        <v>701</v>
      </c>
      <c r="Q184" s="31" t="s">
        <v>701</v>
      </c>
      <c r="R184" s="31"/>
      <c r="S184" s="31" t="s">
        <v>1768</v>
      </c>
      <c r="T184" s="53" t="s">
        <v>1784</v>
      </c>
    </row>
    <row r="185" spans="1:20" ht="105" customHeight="1">
      <c r="A185" s="31">
        <v>104</v>
      </c>
      <c r="B185" s="31">
        <v>348</v>
      </c>
      <c r="C185" s="31" t="s">
        <v>506</v>
      </c>
      <c r="D185" s="31">
        <v>1736</v>
      </c>
      <c r="E185" s="31" t="s">
        <v>222</v>
      </c>
      <c r="F185" s="32" t="s">
        <v>508</v>
      </c>
      <c r="G185" s="31">
        <v>1</v>
      </c>
      <c r="H185" s="31">
        <v>0</v>
      </c>
      <c r="I185" s="32" t="s">
        <v>1255</v>
      </c>
      <c r="J185" s="32" t="s">
        <v>1256</v>
      </c>
      <c r="K185" s="32" t="s">
        <v>1257</v>
      </c>
      <c r="L185" s="32" t="s">
        <v>1258</v>
      </c>
      <c r="M185" s="31">
        <v>278</v>
      </c>
      <c r="N185" s="31">
        <v>278</v>
      </c>
      <c r="O185" s="31" t="s">
        <v>721</v>
      </c>
      <c r="P185" s="31" t="s">
        <v>701</v>
      </c>
      <c r="Q185" s="31" t="s">
        <v>701</v>
      </c>
      <c r="R185" s="31"/>
      <c r="S185" s="31" t="s">
        <v>1720</v>
      </c>
      <c r="T185" s="53" t="s">
        <v>1786</v>
      </c>
    </row>
    <row r="186" spans="1:20" ht="105" customHeight="1">
      <c r="A186" s="31">
        <v>104</v>
      </c>
      <c r="B186" s="31">
        <v>348</v>
      </c>
      <c r="C186" s="31" t="s">
        <v>506</v>
      </c>
      <c r="D186" s="31">
        <v>1738</v>
      </c>
      <c r="E186" s="31" t="s">
        <v>222</v>
      </c>
      <c r="F186" s="32" t="s">
        <v>1259</v>
      </c>
      <c r="G186" s="31">
        <v>1</v>
      </c>
      <c r="H186" s="31">
        <v>0</v>
      </c>
      <c r="I186" s="32" t="s">
        <v>1255</v>
      </c>
      <c r="J186" s="32" t="s">
        <v>1260</v>
      </c>
      <c r="K186" s="32" t="s">
        <v>1261</v>
      </c>
      <c r="L186" s="32" t="s">
        <v>1258</v>
      </c>
      <c r="M186" s="31">
        <v>278</v>
      </c>
      <c r="N186" s="31">
        <v>278</v>
      </c>
      <c r="O186" s="31" t="s">
        <v>787</v>
      </c>
      <c r="P186" s="31" t="s">
        <v>702</v>
      </c>
      <c r="Q186" s="31" t="s">
        <v>701</v>
      </c>
      <c r="R186" s="31"/>
      <c r="S186" s="31" t="s">
        <v>706</v>
      </c>
      <c r="T186" s="53" t="s">
        <v>1785</v>
      </c>
    </row>
    <row r="187" spans="1:20" ht="105" customHeight="1">
      <c r="A187" s="31">
        <v>105</v>
      </c>
      <c r="B187" s="31">
        <v>350</v>
      </c>
      <c r="C187" s="31" t="s">
        <v>509</v>
      </c>
      <c r="D187" s="31">
        <v>1745</v>
      </c>
      <c r="E187" s="31" t="s">
        <v>46</v>
      </c>
      <c r="F187" s="32" t="s">
        <v>511</v>
      </c>
      <c r="G187" s="31">
        <v>1</v>
      </c>
      <c r="H187" s="31">
        <v>0</v>
      </c>
      <c r="I187" s="32" t="s">
        <v>1262</v>
      </c>
      <c r="J187" s="32" t="s">
        <v>1263</v>
      </c>
      <c r="K187" s="32" t="s">
        <v>1264</v>
      </c>
      <c r="L187" s="32" t="s">
        <v>1265</v>
      </c>
      <c r="M187" s="31">
        <v>1</v>
      </c>
      <c r="N187" s="31">
        <v>1</v>
      </c>
      <c r="O187" s="31" t="s">
        <v>700</v>
      </c>
      <c r="P187" s="31" t="s">
        <v>702</v>
      </c>
      <c r="Q187" s="31" t="s">
        <v>701</v>
      </c>
      <c r="R187" s="31"/>
      <c r="S187" s="31" t="s">
        <v>706</v>
      </c>
      <c r="T187" s="53" t="s">
        <v>1787</v>
      </c>
    </row>
    <row r="188" spans="1:20" ht="105" customHeight="1">
      <c r="A188" s="31">
        <v>105</v>
      </c>
      <c r="B188" s="31">
        <v>350</v>
      </c>
      <c r="C188" s="31" t="s">
        <v>509</v>
      </c>
      <c r="D188" s="31">
        <v>1746</v>
      </c>
      <c r="E188" s="31" t="s">
        <v>46</v>
      </c>
      <c r="F188" s="32" t="s">
        <v>1266</v>
      </c>
      <c r="G188" s="31">
        <v>1</v>
      </c>
      <c r="H188" s="31">
        <v>0</v>
      </c>
      <c r="I188" s="32" t="s">
        <v>1262</v>
      </c>
      <c r="J188" s="32" t="s">
        <v>1263</v>
      </c>
      <c r="K188" s="32" t="s">
        <v>1264</v>
      </c>
      <c r="L188" s="32" t="s">
        <v>1265</v>
      </c>
      <c r="M188" s="31">
        <v>1</v>
      </c>
      <c r="N188" s="31">
        <v>1</v>
      </c>
      <c r="O188" s="31" t="s">
        <v>700</v>
      </c>
      <c r="P188" s="31" t="s">
        <v>702</v>
      </c>
      <c r="Q188" s="31" t="s">
        <v>701</v>
      </c>
      <c r="R188" s="31"/>
      <c r="S188" s="31" t="s">
        <v>706</v>
      </c>
      <c r="T188" s="53" t="s">
        <v>1787</v>
      </c>
    </row>
    <row r="189" spans="1:20" ht="105" customHeight="1">
      <c r="A189" s="31">
        <v>105</v>
      </c>
      <c r="B189" s="31">
        <v>350</v>
      </c>
      <c r="C189" s="31" t="s">
        <v>509</v>
      </c>
      <c r="D189" s="31">
        <v>1747</v>
      </c>
      <c r="E189" s="31" t="s">
        <v>46</v>
      </c>
      <c r="F189" s="32" t="s">
        <v>1267</v>
      </c>
      <c r="G189" s="31">
        <v>1</v>
      </c>
      <c r="H189" s="31">
        <v>0</v>
      </c>
      <c r="I189" s="32" t="s">
        <v>1262</v>
      </c>
      <c r="J189" s="32" t="s">
        <v>1263</v>
      </c>
      <c r="K189" s="32" t="s">
        <v>1264</v>
      </c>
      <c r="L189" s="32" t="s">
        <v>1265</v>
      </c>
      <c r="M189" s="31">
        <v>1</v>
      </c>
      <c r="N189" s="31">
        <v>1</v>
      </c>
      <c r="O189" s="31" t="s">
        <v>700</v>
      </c>
      <c r="P189" s="31" t="s">
        <v>702</v>
      </c>
      <c r="Q189" s="31" t="s">
        <v>701</v>
      </c>
      <c r="R189" s="31"/>
      <c r="S189" s="31" t="s">
        <v>706</v>
      </c>
      <c r="T189" s="53" t="s">
        <v>1787</v>
      </c>
    </row>
    <row r="190" spans="1:20" ht="105" customHeight="1">
      <c r="A190" s="31">
        <v>105</v>
      </c>
      <c r="B190" s="31">
        <v>350</v>
      </c>
      <c r="C190" s="31" t="s">
        <v>509</v>
      </c>
      <c r="D190" s="31">
        <v>1748</v>
      </c>
      <c r="E190" s="31" t="s">
        <v>46</v>
      </c>
      <c r="F190" s="32" t="s">
        <v>1268</v>
      </c>
      <c r="G190" s="31">
        <v>1</v>
      </c>
      <c r="H190" s="31">
        <v>0</v>
      </c>
      <c r="I190" s="32" t="s">
        <v>1262</v>
      </c>
      <c r="J190" s="32" t="s">
        <v>1269</v>
      </c>
      <c r="K190" s="32" t="s">
        <v>1270</v>
      </c>
      <c r="L190" s="32" t="s">
        <v>1265</v>
      </c>
      <c r="M190" s="31">
        <v>1</v>
      </c>
      <c r="N190" s="31">
        <v>1</v>
      </c>
      <c r="O190" s="31" t="s">
        <v>700</v>
      </c>
      <c r="P190" s="31" t="s">
        <v>702</v>
      </c>
      <c r="Q190" s="31" t="s">
        <v>701</v>
      </c>
      <c r="R190" s="31"/>
      <c r="S190" s="31" t="s">
        <v>706</v>
      </c>
      <c r="T190" s="53" t="s">
        <v>1787</v>
      </c>
    </row>
    <row r="191" spans="1:20" ht="105" customHeight="1">
      <c r="A191" s="31">
        <v>105</v>
      </c>
      <c r="B191" s="31">
        <v>350</v>
      </c>
      <c r="C191" s="31" t="s">
        <v>509</v>
      </c>
      <c r="D191" s="31">
        <v>1749</v>
      </c>
      <c r="E191" s="31" t="s">
        <v>46</v>
      </c>
      <c r="F191" s="32" t="s">
        <v>1271</v>
      </c>
      <c r="G191" s="31">
        <v>1</v>
      </c>
      <c r="H191" s="31">
        <v>0</v>
      </c>
      <c r="I191" s="32" t="s">
        <v>1262</v>
      </c>
      <c r="J191" s="32" t="s">
        <v>1272</v>
      </c>
      <c r="K191" s="32" t="s">
        <v>1270</v>
      </c>
      <c r="L191" s="32" t="s">
        <v>1265</v>
      </c>
      <c r="M191" s="31">
        <v>1</v>
      </c>
      <c r="N191" s="31">
        <v>1</v>
      </c>
      <c r="O191" s="31" t="s">
        <v>700</v>
      </c>
      <c r="P191" s="31" t="s">
        <v>702</v>
      </c>
      <c r="Q191" s="31" t="s">
        <v>701</v>
      </c>
      <c r="R191" s="31"/>
      <c r="S191" s="31" t="s">
        <v>706</v>
      </c>
      <c r="T191" s="53" t="s">
        <v>1787</v>
      </c>
    </row>
    <row r="192" spans="1:20" ht="105" customHeight="1">
      <c r="A192" s="31">
        <v>106</v>
      </c>
      <c r="B192" s="31">
        <v>353</v>
      </c>
      <c r="C192" s="31" t="s">
        <v>512</v>
      </c>
      <c r="D192" s="31">
        <v>1763</v>
      </c>
      <c r="E192" s="31" t="s">
        <v>54</v>
      </c>
      <c r="F192" s="32" t="s">
        <v>514</v>
      </c>
      <c r="G192" s="31">
        <v>1</v>
      </c>
      <c r="H192" s="31">
        <v>0</v>
      </c>
      <c r="I192" s="32" t="s">
        <v>1273</v>
      </c>
      <c r="J192" s="32" t="s">
        <v>1274</v>
      </c>
      <c r="K192" s="32" t="s">
        <v>1275</v>
      </c>
      <c r="L192" s="32" t="s">
        <v>1276</v>
      </c>
      <c r="M192" s="31">
        <v>1</v>
      </c>
      <c r="N192" s="31">
        <v>1</v>
      </c>
      <c r="O192" s="31" t="s">
        <v>762</v>
      </c>
      <c r="P192" s="31" t="s">
        <v>702</v>
      </c>
      <c r="Q192" s="31" t="s">
        <v>701</v>
      </c>
      <c r="R192" s="31"/>
      <c r="S192" s="31" t="s">
        <v>706</v>
      </c>
      <c r="T192" s="53" t="s">
        <v>1788</v>
      </c>
    </row>
    <row r="193" spans="1:20" ht="105" customHeight="1">
      <c r="A193" s="31">
        <v>107</v>
      </c>
      <c r="B193" s="31">
        <v>356</v>
      </c>
      <c r="C193" s="31" t="s">
        <v>515</v>
      </c>
      <c r="D193" s="31">
        <v>1776</v>
      </c>
      <c r="E193" s="31" t="s">
        <v>273</v>
      </c>
      <c r="F193" s="32" t="s">
        <v>517</v>
      </c>
      <c r="G193" s="31">
        <v>1</v>
      </c>
      <c r="H193" s="31">
        <v>0</v>
      </c>
      <c r="I193" s="32" t="s">
        <v>1277</v>
      </c>
      <c r="J193" s="32" t="s">
        <v>1278</v>
      </c>
      <c r="K193" s="32" t="s">
        <v>1279</v>
      </c>
      <c r="L193" s="32" t="s">
        <v>1280</v>
      </c>
      <c r="M193" s="31">
        <v>5</v>
      </c>
      <c r="N193" s="31">
        <v>5</v>
      </c>
      <c r="O193" s="31" t="s">
        <v>762</v>
      </c>
      <c r="P193" s="31" t="s">
        <v>702</v>
      </c>
      <c r="Q193" s="31" t="s">
        <v>701</v>
      </c>
      <c r="R193" s="31"/>
      <c r="S193" s="31" t="s">
        <v>706</v>
      </c>
      <c r="T193" s="53" t="s">
        <v>1789</v>
      </c>
    </row>
    <row r="194" spans="1:20" ht="105" customHeight="1">
      <c r="A194" s="31">
        <v>107</v>
      </c>
      <c r="B194" s="31">
        <v>356</v>
      </c>
      <c r="C194" s="31" t="s">
        <v>515</v>
      </c>
      <c r="D194" s="31">
        <v>1777</v>
      </c>
      <c r="E194" s="31" t="s">
        <v>273</v>
      </c>
      <c r="F194" s="32" t="s">
        <v>1281</v>
      </c>
      <c r="G194" s="31">
        <v>1</v>
      </c>
      <c r="H194" s="31">
        <v>0</v>
      </c>
      <c r="I194" s="32" t="s">
        <v>1277</v>
      </c>
      <c r="J194" s="32" t="s">
        <v>1282</v>
      </c>
      <c r="K194" s="32" t="s">
        <v>1283</v>
      </c>
      <c r="L194" s="32" t="s">
        <v>1280</v>
      </c>
      <c r="M194" s="31">
        <v>5</v>
      </c>
      <c r="N194" s="31">
        <v>5</v>
      </c>
      <c r="O194" s="31" t="s">
        <v>762</v>
      </c>
      <c r="P194" s="31" t="s">
        <v>702</v>
      </c>
      <c r="Q194" s="31" t="s">
        <v>701</v>
      </c>
      <c r="R194" s="31"/>
      <c r="S194" s="31" t="s">
        <v>706</v>
      </c>
      <c r="T194" s="53" t="s">
        <v>1789</v>
      </c>
    </row>
    <row r="195" spans="1:20" ht="105" customHeight="1">
      <c r="A195" s="31">
        <v>107</v>
      </c>
      <c r="B195" s="31">
        <v>356</v>
      </c>
      <c r="C195" s="31" t="s">
        <v>515</v>
      </c>
      <c r="D195" s="31">
        <v>1778</v>
      </c>
      <c r="E195" s="31" t="s">
        <v>273</v>
      </c>
      <c r="F195" s="32" t="s">
        <v>1284</v>
      </c>
      <c r="G195" s="31">
        <v>1</v>
      </c>
      <c r="H195" s="31">
        <v>0</v>
      </c>
      <c r="I195" s="32" t="s">
        <v>1277</v>
      </c>
      <c r="J195" s="32" t="s">
        <v>1285</v>
      </c>
      <c r="K195" s="32" t="s">
        <v>1286</v>
      </c>
      <c r="L195" s="32" t="s">
        <v>1280</v>
      </c>
      <c r="M195" s="31">
        <v>5</v>
      </c>
      <c r="N195" s="31">
        <v>5</v>
      </c>
      <c r="O195" s="31" t="s">
        <v>762</v>
      </c>
      <c r="P195" s="31" t="s">
        <v>702</v>
      </c>
      <c r="Q195" s="31" t="s">
        <v>701</v>
      </c>
      <c r="R195" s="31"/>
      <c r="S195" s="31" t="s">
        <v>706</v>
      </c>
      <c r="T195" s="53" t="s">
        <v>1789</v>
      </c>
    </row>
    <row r="196" spans="1:20" ht="105" customHeight="1">
      <c r="A196" s="31">
        <v>107</v>
      </c>
      <c r="B196" s="31">
        <v>356</v>
      </c>
      <c r="C196" s="31" t="s">
        <v>515</v>
      </c>
      <c r="D196" s="31">
        <v>1779</v>
      </c>
      <c r="E196" s="31" t="s">
        <v>273</v>
      </c>
      <c r="F196" s="32" t="s">
        <v>1287</v>
      </c>
      <c r="G196" s="31">
        <v>1</v>
      </c>
      <c r="H196" s="31">
        <v>0</v>
      </c>
      <c r="I196" s="32" t="s">
        <v>1277</v>
      </c>
      <c r="J196" s="32" t="s">
        <v>1288</v>
      </c>
      <c r="K196" s="32" t="s">
        <v>1283</v>
      </c>
      <c r="L196" s="32" t="s">
        <v>1280</v>
      </c>
      <c r="M196" s="31">
        <v>5</v>
      </c>
      <c r="N196" s="31">
        <v>5</v>
      </c>
      <c r="O196" s="31" t="s">
        <v>762</v>
      </c>
      <c r="P196" s="31" t="s">
        <v>702</v>
      </c>
      <c r="Q196" s="31" t="s">
        <v>701</v>
      </c>
      <c r="R196" s="31"/>
      <c r="S196" s="31" t="s">
        <v>706</v>
      </c>
      <c r="T196" s="53" t="s">
        <v>1789</v>
      </c>
    </row>
    <row r="197" spans="1:20" ht="105" customHeight="1">
      <c r="A197" s="31">
        <v>108</v>
      </c>
      <c r="B197" s="31">
        <v>357</v>
      </c>
      <c r="C197" s="31" t="s">
        <v>518</v>
      </c>
      <c r="D197" s="31">
        <v>1784</v>
      </c>
      <c r="E197" s="31" t="s">
        <v>208</v>
      </c>
      <c r="F197" s="32" t="s">
        <v>520</v>
      </c>
      <c r="G197" s="31">
        <v>1</v>
      </c>
      <c r="H197" s="31">
        <v>0</v>
      </c>
      <c r="I197" s="32" t="s">
        <v>1289</v>
      </c>
      <c r="J197" s="32" t="s">
        <v>1290</v>
      </c>
      <c r="K197" s="32" t="s">
        <v>1291</v>
      </c>
      <c r="L197" s="32" t="s">
        <v>1292</v>
      </c>
      <c r="M197" s="31">
        <v>2</v>
      </c>
      <c r="N197" s="31">
        <v>1</v>
      </c>
      <c r="O197" s="31" t="s">
        <v>700</v>
      </c>
      <c r="P197" s="31" t="s">
        <v>701</v>
      </c>
      <c r="Q197" s="31" t="s">
        <v>701</v>
      </c>
      <c r="R197" s="31"/>
      <c r="S197" s="31" t="s">
        <v>1768</v>
      </c>
      <c r="T197" s="53" t="s">
        <v>1790</v>
      </c>
    </row>
    <row r="198" spans="1:20" ht="105" customHeight="1">
      <c r="A198" s="31">
        <v>109</v>
      </c>
      <c r="B198" s="31">
        <v>359</v>
      </c>
      <c r="C198" s="31" t="s">
        <v>521</v>
      </c>
      <c r="D198" s="31">
        <v>1793</v>
      </c>
      <c r="E198" s="31" t="s">
        <v>67</v>
      </c>
      <c r="F198" s="32" t="s">
        <v>523</v>
      </c>
      <c r="G198" s="31">
        <v>1</v>
      </c>
      <c r="H198" s="31">
        <v>0</v>
      </c>
      <c r="I198" s="32" t="s">
        <v>1293</v>
      </c>
      <c r="J198" s="32" t="s">
        <v>1294</v>
      </c>
      <c r="K198" s="32" t="s">
        <v>1295</v>
      </c>
      <c r="L198" s="32" t="s">
        <v>1296</v>
      </c>
      <c r="M198" s="31">
        <v>3</v>
      </c>
      <c r="N198" s="31">
        <v>3</v>
      </c>
      <c r="O198" s="31" t="s">
        <v>700</v>
      </c>
      <c r="P198" s="31" t="s">
        <v>702</v>
      </c>
      <c r="Q198" s="31" t="s">
        <v>701</v>
      </c>
      <c r="R198" s="31"/>
      <c r="S198" s="31" t="s">
        <v>706</v>
      </c>
      <c r="T198" s="53" t="s">
        <v>1791</v>
      </c>
    </row>
    <row r="199" spans="1:20" ht="105" customHeight="1">
      <c r="A199" s="31">
        <v>110</v>
      </c>
      <c r="B199" s="31">
        <v>370</v>
      </c>
      <c r="C199" s="31" t="s">
        <v>524</v>
      </c>
      <c r="D199" s="31">
        <v>1849</v>
      </c>
      <c r="E199" s="31" t="s">
        <v>318</v>
      </c>
      <c r="F199" s="32" t="s">
        <v>526</v>
      </c>
      <c r="G199" s="31">
        <v>1</v>
      </c>
      <c r="H199" s="31">
        <v>0</v>
      </c>
      <c r="I199" s="32" t="s">
        <v>1297</v>
      </c>
      <c r="J199" s="32" t="s">
        <v>1298</v>
      </c>
      <c r="K199" s="32" t="s">
        <v>1299</v>
      </c>
      <c r="L199" s="32" t="s">
        <v>1300</v>
      </c>
      <c r="M199" s="31">
        <v>14</v>
      </c>
      <c r="N199" s="31">
        <v>1</v>
      </c>
      <c r="O199" s="31" t="s">
        <v>700</v>
      </c>
      <c r="P199" s="31" t="s">
        <v>702</v>
      </c>
      <c r="Q199" s="31" t="s">
        <v>701</v>
      </c>
      <c r="R199" s="31"/>
      <c r="S199" s="31" t="s">
        <v>706</v>
      </c>
      <c r="T199" s="53" t="s">
        <v>1792</v>
      </c>
    </row>
    <row r="200" spans="1:20" ht="105" customHeight="1">
      <c r="A200" s="31">
        <v>111</v>
      </c>
      <c r="B200" s="31">
        <v>374</v>
      </c>
      <c r="C200" s="31" t="s">
        <v>75</v>
      </c>
      <c r="D200" s="31">
        <v>1865</v>
      </c>
      <c r="E200" s="31" t="s">
        <v>76</v>
      </c>
      <c r="F200" s="32" t="s">
        <v>147</v>
      </c>
      <c r="G200" s="31">
        <v>0</v>
      </c>
      <c r="H200" s="31">
        <v>0</v>
      </c>
      <c r="I200" s="32" t="s">
        <v>148</v>
      </c>
      <c r="J200" s="32" t="s">
        <v>1301</v>
      </c>
      <c r="K200" s="32" t="s">
        <v>1302</v>
      </c>
      <c r="L200" s="32" t="s">
        <v>149</v>
      </c>
      <c r="M200" s="31">
        <v>7</v>
      </c>
      <c r="N200" s="31">
        <v>3</v>
      </c>
      <c r="O200" s="31" t="s">
        <v>700</v>
      </c>
      <c r="P200" s="31" t="s">
        <v>701</v>
      </c>
      <c r="Q200" s="31" t="s">
        <v>701</v>
      </c>
      <c r="R200" s="31" t="s">
        <v>23</v>
      </c>
      <c r="S200" s="31" t="s">
        <v>1794</v>
      </c>
      <c r="T200" s="53" t="s">
        <v>1793</v>
      </c>
    </row>
    <row r="201" spans="1:20" ht="105" customHeight="1">
      <c r="A201" s="31">
        <v>111</v>
      </c>
      <c r="B201" s="31">
        <v>374</v>
      </c>
      <c r="C201" s="31" t="s">
        <v>75</v>
      </c>
      <c r="D201" s="31">
        <v>1866</v>
      </c>
      <c r="E201" s="31" t="s">
        <v>76</v>
      </c>
      <c r="F201" s="32" t="s">
        <v>1303</v>
      </c>
      <c r="G201" s="31">
        <v>0</v>
      </c>
      <c r="H201" s="31">
        <v>0</v>
      </c>
      <c r="I201" s="32" t="s">
        <v>148</v>
      </c>
      <c r="J201" s="32" t="s">
        <v>1301</v>
      </c>
      <c r="K201" s="32" t="s">
        <v>1302</v>
      </c>
      <c r="L201" s="32" t="s">
        <v>149</v>
      </c>
      <c r="M201" s="31">
        <v>7</v>
      </c>
      <c r="N201" s="31">
        <v>3</v>
      </c>
      <c r="O201" s="31" t="s">
        <v>700</v>
      </c>
      <c r="P201" s="31" t="s">
        <v>701</v>
      </c>
      <c r="Q201" s="31" t="s">
        <v>701</v>
      </c>
      <c r="R201" s="31" t="s">
        <v>23</v>
      </c>
      <c r="S201" s="31" t="s">
        <v>1794</v>
      </c>
      <c r="T201" s="53" t="s">
        <v>1793</v>
      </c>
    </row>
    <row r="202" spans="1:20" ht="105" customHeight="1">
      <c r="A202" s="31">
        <v>111</v>
      </c>
      <c r="B202" s="31">
        <v>374</v>
      </c>
      <c r="C202" s="31" t="s">
        <v>75</v>
      </c>
      <c r="D202" s="31">
        <v>1867</v>
      </c>
      <c r="E202" s="31" t="s">
        <v>76</v>
      </c>
      <c r="F202" s="32" t="s">
        <v>1304</v>
      </c>
      <c r="G202" s="31">
        <v>0</v>
      </c>
      <c r="H202" s="31">
        <v>0</v>
      </c>
      <c r="I202" s="32" t="s">
        <v>148</v>
      </c>
      <c r="J202" s="32" t="s">
        <v>1305</v>
      </c>
      <c r="K202" s="32" t="s">
        <v>1306</v>
      </c>
      <c r="L202" s="32" t="s">
        <v>149</v>
      </c>
      <c r="M202" s="31">
        <v>7</v>
      </c>
      <c r="N202" s="31">
        <v>3</v>
      </c>
      <c r="O202" s="31" t="s">
        <v>700</v>
      </c>
      <c r="P202" s="31" t="s">
        <v>701</v>
      </c>
      <c r="Q202" s="31" t="s">
        <v>701</v>
      </c>
      <c r="R202" s="31" t="s">
        <v>23</v>
      </c>
      <c r="S202" s="31" t="s">
        <v>1794</v>
      </c>
      <c r="T202" s="53" t="s">
        <v>1793</v>
      </c>
    </row>
    <row r="203" spans="1:20" ht="105" customHeight="1">
      <c r="A203" s="31">
        <v>111</v>
      </c>
      <c r="B203" s="31">
        <v>374</v>
      </c>
      <c r="C203" s="31" t="s">
        <v>75</v>
      </c>
      <c r="D203" s="31">
        <v>1868</v>
      </c>
      <c r="E203" s="31" t="s">
        <v>76</v>
      </c>
      <c r="F203" s="32" t="s">
        <v>1307</v>
      </c>
      <c r="G203" s="31">
        <v>0</v>
      </c>
      <c r="H203" s="31">
        <v>0</v>
      </c>
      <c r="I203" s="32" t="s">
        <v>148</v>
      </c>
      <c r="J203" s="32" t="s">
        <v>1308</v>
      </c>
      <c r="K203" s="32" t="s">
        <v>1306</v>
      </c>
      <c r="L203" s="32" t="s">
        <v>149</v>
      </c>
      <c r="M203" s="31">
        <v>7</v>
      </c>
      <c r="N203" s="31">
        <v>3</v>
      </c>
      <c r="O203" s="31" t="s">
        <v>700</v>
      </c>
      <c r="P203" s="31" t="s">
        <v>701</v>
      </c>
      <c r="Q203" s="31" t="s">
        <v>701</v>
      </c>
      <c r="R203" s="31" t="s">
        <v>23</v>
      </c>
      <c r="S203" s="31" t="s">
        <v>1794</v>
      </c>
      <c r="T203" s="53" t="s">
        <v>1793</v>
      </c>
    </row>
    <row r="204" spans="1:20" ht="105" customHeight="1">
      <c r="A204" s="31">
        <v>111</v>
      </c>
      <c r="B204" s="31">
        <v>374</v>
      </c>
      <c r="C204" s="31" t="s">
        <v>75</v>
      </c>
      <c r="D204" s="31">
        <v>1869</v>
      </c>
      <c r="E204" s="31" t="s">
        <v>76</v>
      </c>
      <c r="F204" s="32" t="s">
        <v>1309</v>
      </c>
      <c r="G204" s="31">
        <v>0</v>
      </c>
      <c r="H204" s="31">
        <v>0</v>
      </c>
      <c r="I204" s="32" t="s">
        <v>148</v>
      </c>
      <c r="J204" s="32" t="s">
        <v>1310</v>
      </c>
      <c r="K204" s="32" t="s">
        <v>1306</v>
      </c>
      <c r="L204" s="32" t="s">
        <v>149</v>
      </c>
      <c r="M204" s="31">
        <v>7</v>
      </c>
      <c r="N204" s="31">
        <v>3</v>
      </c>
      <c r="O204" s="31" t="s">
        <v>700</v>
      </c>
      <c r="P204" s="31" t="s">
        <v>701</v>
      </c>
      <c r="Q204" s="31" t="s">
        <v>701</v>
      </c>
      <c r="R204" s="31" t="s">
        <v>23</v>
      </c>
      <c r="S204" s="31" t="s">
        <v>1794</v>
      </c>
      <c r="T204" s="53" t="s">
        <v>1793</v>
      </c>
    </row>
    <row r="205" spans="1:20" ht="105" customHeight="1">
      <c r="A205" s="31">
        <v>112</v>
      </c>
      <c r="B205" s="31">
        <v>383</v>
      </c>
      <c r="C205" s="31" t="s">
        <v>528</v>
      </c>
      <c r="D205" s="31">
        <v>1912</v>
      </c>
      <c r="E205" s="31" t="s">
        <v>67</v>
      </c>
      <c r="F205" s="32" t="s">
        <v>530</v>
      </c>
      <c r="G205" s="31">
        <v>1</v>
      </c>
      <c r="H205" s="31">
        <v>0</v>
      </c>
      <c r="I205" s="32" t="s">
        <v>1311</v>
      </c>
      <c r="J205" s="32" t="s">
        <v>1312</v>
      </c>
      <c r="K205" s="32" t="s">
        <v>1313</v>
      </c>
      <c r="L205" s="32" t="s">
        <v>1314</v>
      </c>
      <c r="M205" s="31">
        <v>1</v>
      </c>
      <c r="N205" s="31">
        <v>1</v>
      </c>
      <c r="O205" s="31" t="s">
        <v>700</v>
      </c>
      <c r="P205" s="31" t="s">
        <v>701</v>
      </c>
      <c r="Q205" s="31" t="s">
        <v>701</v>
      </c>
      <c r="R205" s="31"/>
      <c r="S205" s="31" t="s">
        <v>1768</v>
      </c>
      <c r="T205" s="53" t="s">
        <v>1795</v>
      </c>
    </row>
    <row r="206" spans="1:20" ht="105" customHeight="1">
      <c r="A206" s="31">
        <v>112</v>
      </c>
      <c r="B206" s="31">
        <v>383</v>
      </c>
      <c r="C206" s="31" t="s">
        <v>528</v>
      </c>
      <c r="D206" s="31">
        <v>1913</v>
      </c>
      <c r="E206" s="31" t="s">
        <v>67</v>
      </c>
      <c r="F206" s="32" t="s">
        <v>1315</v>
      </c>
      <c r="G206" s="31">
        <v>1</v>
      </c>
      <c r="H206" s="31">
        <v>0</v>
      </c>
      <c r="I206" s="32" t="s">
        <v>1311</v>
      </c>
      <c r="J206" s="32" t="s">
        <v>1316</v>
      </c>
      <c r="K206" s="32" t="s">
        <v>1317</v>
      </c>
      <c r="L206" s="32" t="s">
        <v>1314</v>
      </c>
      <c r="M206" s="31">
        <v>24</v>
      </c>
      <c r="N206" s="31">
        <v>1</v>
      </c>
      <c r="O206" s="31" t="s">
        <v>700</v>
      </c>
      <c r="P206" s="31" t="s">
        <v>702</v>
      </c>
      <c r="Q206" s="31" t="s">
        <v>701</v>
      </c>
      <c r="R206" s="31"/>
      <c r="S206" s="31" t="s">
        <v>706</v>
      </c>
      <c r="T206" s="53" t="s">
        <v>1795</v>
      </c>
    </row>
    <row r="207" spans="1:20" ht="105" customHeight="1">
      <c r="A207" s="31">
        <v>112</v>
      </c>
      <c r="B207" s="31">
        <v>383</v>
      </c>
      <c r="C207" s="31" t="s">
        <v>528</v>
      </c>
      <c r="D207" s="31">
        <v>1914</v>
      </c>
      <c r="E207" s="31" t="s">
        <v>67</v>
      </c>
      <c r="F207" s="32" t="s">
        <v>1318</v>
      </c>
      <c r="G207" s="31">
        <v>1</v>
      </c>
      <c r="H207" s="31">
        <v>0</v>
      </c>
      <c r="I207" s="32" t="s">
        <v>1311</v>
      </c>
      <c r="J207" s="32" t="s">
        <v>1319</v>
      </c>
      <c r="K207" s="32" t="s">
        <v>1313</v>
      </c>
      <c r="L207" s="32" t="s">
        <v>1314</v>
      </c>
      <c r="M207" s="31">
        <v>1</v>
      </c>
      <c r="N207" s="31">
        <v>1</v>
      </c>
      <c r="O207" s="31" t="s">
        <v>700</v>
      </c>
      <c r="P207" s="31" t="s">
        <v>701</v>
      </c>
      <c r="Q207" s="31" t="s">
        <v>701</v>
      </c>
      <c r="R207" s="31"/>
      <c r="S207" s="31" t="s">
        <v>1768</v>
      </c>
      <c r="T207" s="53" t="s">
        <v>1795</v>
      </c>
    </row>
    <row r="208" spans="1:20" ht="105" customHeight="1">
      <c r="A208" s="31">
        <v>113</v>
      </c>
      <c r="B208" s="31">
        <v>385</v>
      </c>
      <c r="C208" s="31" t="s">
        <v>531</v>
      </c>
      <c r="D208" s="31">
        <v>1923</v>
      </c>
      <c r="E208" s="31" t="s">
        <v>218</v>
      </c>
      <c r="F208" s="32" t="s">
        <v>533</v>
      </c>
      <c r="G208" s="31">
        <v>1</v>
      </c>
      <c r="H208" s="31">
        <v>0</v>
      </c>
      <c r="I208" s="32" t="s">
        <v>1320</v>
      </c>
      <c r="J208" s="32" t="s">
        <v>1321</v>
      </c>
      <c r="K208" s="32" t="s">
        <v>1322</v>
      </c>
      <c r="L208" s="32" t="s">
        <v>1323</v>
      </c>
      <c r="M208" s="31">
        <v>106</v>
      </c>
      <c r="N208" s="31">
        <v>33</v>
      </c>
      <c r="O208" s="31" t="s">
        <v>700</v>
      </c>
      <c r="P208" s="31" t="s">
        <v>702</v>
      </c>
      <c r="Q208" s="31" t="s">
        <v>701</v>
      </c>
      <c r="R208" s="31"/>
      <c r="S208" s="31" t="s">
        <v>706</v>
      </c>
      <c r="T208" s="53" t="s">
        <v>1796</v>
      </c>
    </row>
    <row r="209" spans="1:20" ht="105" customHeight="1">
      <c r="A209" s="31">
        <v>113</v>
      </c>
      <c r="B209" s="31">
        <v>385</v>
      </c>
      <c r="C209" s="31" t="s">
        <v>531</v>
      </c>
      <c r="D209" s="31">
        <v>1924</v>
      </c>
      <c r="E209" s="31" t="s">
        <v>218</v>
      </c>
      <c r="F209" s="32" t="s">
        <v>1324</v>
      </c>
      <c r="G209" s="31">
        <v>1</v>
      </c>
      <c r="H209" s="31">
        <v>0</v>
      </c>
      <c r="I209" s="32" t="s">
        <v>1320</v>
      </c>
      <c r="J209" s="32" t="s">
        <v>1325</v>
      </c>
      <c r="K209" s="32" t="s">
        <v>1326</v>
      </c>
      <c r="L209" s="32" t="s">
        <v>1323</v>
      </c>
      <c r="M209" s="31">
        <v>0</v>
      </c>
      <c r="N209" s="31">
        <v>33</v>
      </c>
      <c r="O209" s="31" t="s">
        <v>726</v>
      </c>
      <c r="P209" s="31" t="s">
        <v>702</v>
      </c>
      <c r="Q209" s="31" t="s">
        <v>701</v>
      </c>
      <c r="R209" s="31"/>
      <c r="S209" s="31" t="s">
        <v>706</v>
      </c>
      <c r="T209" s="53" t="s">
        <v>1796</v>
      </c>
    </row>
    <row r="210" spans="1:20" ht="105" customHeight="1">
      <c r="A210" s="31">
        <v>114</v>
      </c>
      <c r="B210" s="31">
        <v>397</v>
      </c>
      <c r="C210" s="31" t="s">
        <v>534</v>
      </c>
      <c r="D210" s="31">
        <v>1982</v>
      </c>
      <c r="E210" s="31" t="s">
        <v>57</v>
      </c>
      <c r="F210" s="32" t="s">
        <v>536</v>
      </c>
      <c r="G210" s="31">
        <v>1</v>
      </c>
      <c r="H210" s="31">
        <v>0</v>
      </c>
      <c r="I210" s="32" t="s">
        <v>1327</v>
      </c>
      <c r="J210" s="32" t="s">
        <v>1328</v>
      </c>
      <c r="K210" s="32" t="s">
        <v>1329</v>
      </c>
      <c r="L210" s="32" t="s">
        <v>1330</v>
      </c>
      <c r="M210" s="31">
        <v>2</v>
      </c>
      <c r="N210" s="31">
        <v>2</v>
      </c>
      <c r="O210" s="31" t="s">
        <v>769</v>
      </c>
      <c r="P210" s="31" t="s">
        <v>702</v>
      </c>
      <c r="Q210" s="31" t="s">
        <v>701</v>
      </c>
      <c r="R210" s="31"/>
      <c r="S210" s="31" t="s">
        <v>706</v>
      </c>
      <c r="T210" s="53" t="s">
        <v>1797</v>
      </c>
    </row>
    <row r="211" spans="1:20" ht="105" customHeight="1">
      <c r="A211" s="31">
        <v>115</v>
      </c>
      <c r="B211" s="31">
        <v>403</v>
      </c>
      <c r="C211" s="31" t="s">
        <v>537</v>
      </c>
      <c r="D211" s="31">
        <v>2013</v>
      </c>
      <c r="E211" s="31" t="s">
        <v>222</v>
      </c>
      <c r="F211" s="32" t="s">
        <v>539</v>
      </c>
      <c r="G211" s="31">
        <v>1</v>
      </c>
      <c r="H211" s="31">
        <v>0</v>
      </c>
      <c r="I211" s="32" t="s">
        <v>1331</v>
      </c>
      <c r="J211" s="32" t="s">
        <v>1332</v>
      </c>
      <c r="K211" s="32" t="s">
        <v>1333</v>
      </c>
      <c r="L211" s="32" t="s">
        <v>1334</v>
      </c>
      <c r="M211" s="31">
        <v>1</v>
      </c>
      <c r="N211" s="31">
        <v>1</v>
      </c>
      <c r="O211" s="31" t="s">
        <v>762</v>
      </c>
      <c r="P211" s="31" t="s">
        <v>702</v>
      </c>
      <c r="Q211" s="31" t="s">
        <v>701</v>
      </c>
      <c r="R211" s="31"/>
      <c r="S211" s="31" t="s">
        <v>706</v>
      </c>
      <c r="T211" s="53" t="s">
        <v>1798</v>
      </c>
    </row>
    <row r="212" spans="1:20" ht="105" customHeight="1">
      <c r="A212" s="31">
        <v>116</v>
      </c>
      <c r="B212" s="31">
        <v>407</v>
      </c>
      <c r="C212" s="31" t="s">
        <v>540</v>
      </c>
      <c r="D212" s="31">
        <v>2034</v>
      </c>
      <c r="E212" s="31" t="s">
        <v>388</v>
      </c>
      <c r="F212" s="32" t="s">
        <v>542</v>
      </c>
      <c r="G212" s="31">
        <v>1</v>
      </c>
      <c r="H212" s="31">
        <v>0</v>
      </c>
      <c r="I212" s="32" t="s">
        <v>1335</v>
      </c>
      <c r="J212" s="32" t="s">
        <v>1336</v>
      </c>
      <c r="K212" s="32" t="s">
        <v>1337</v>
      </c>
      <c r="L212" s="32" t="s">
        <v>1338</v>
      </c>
      <c r="M212" s="31">
        <v>1</v>
      </c>
      <c r="N212" s="31">
        <v>1</v>
      </c>
      <c r="O212" s="31" t="s">
        <v>769</v>
      </c>
      <c r="P212" s="31" t="s">
        <v>702</v>
      </c>
      <c r="Q212" s="31" t="s">
        <v>701</v>
      </c>
      <c r="R212" s="31"/>
      <c r="S212" s="31" t="s">
        <v>706</v>
      </c>
      <c r="T212" s="53" t="s">
        <v>1799</v>
      </c>
    </row>
    <row r="213" spans="1:20" ht="105" customHeight="1">
      <c r="A213" s="31">
        <v>117</v>
      </c>
      <c r="B213" s="31">
        <v>409</v>
      </c>
      <c r="C213" s="31" t="s">
        <v>543</v>
      </c>
      <c r="D213" s="31">
        <v>2042</v>
      </c>
      <c r="E213" s="31" t="s">
        <v>67</v>
      </c>
      <c r="F213" s="32" t="s">
        <v>545</v>
      </c>
      <c r="G213" s="31">
        <v>1</v>
      </c>
      <c r="H213" s="31">
        <v>0</v>
      </c>
      <c r="I213" s="32" t="s">
        <v>1339</v>
      </c>
      <c r="J213" s="32" t="s">
        <v>1340</v>
      </c>
      <c r="K213" s="32" t="s">
        <v>1341</v>
      </c>
      <c r="L213" s="32" t="s">
        <v>1342</v>
      </c>
      <c r="M213" s="31">
        <v>1</v>
      </c>
      <c r="N213" s="31">
        <v>1</v>
      </c>
      <c r="O213" s="31" t="s">
        <v>700</v>
      </c>
      <c r="P213" s="31" t="s">
        <v>702</v>
      </c>
      <c r="Q213" s="31" t="s">
        <v>701</v>
      </c>
      <c r="R213" s="31"/>
      <c r="S213" s="31" t="s">
        <v>706</v>
      </c>
      <c r="T213" s="53" t="s">
        <v>1800</v>
      </c>
    </row>
    <row r="214" spans="1:20" ht="105" customHeight="1">
      <c r="A214" s="31">
        <v>117</v>
      </c>
      <c r="B214" s="31">
        <v>409</v>
      </c>
      <c r="C214" s="31" t="s">
        <v>543</v>
      </c>
      <c r="D214" s="31">
        <v>2044</v>
      </c>
      <c r="E214" s="31" t="s">
        <v>67</v>
      </c>
      <c r="F214" s="32" t="s">
        <v>1343</v>
      </c>
      <c r="G214" s="31">
        <v>1</v>
      </c>
      <c r="H214" s="31">
        <v>0</v>
      </c>
      <c r="I214" s="32" t="s">
        <v>1339</v>
      </c>
      <c r="J214" s="32" t="s">
        <v>1344</v>
      </c>
      <c r="K214" s="32" t="s">
        <v>1345</v>
      </c>
      <c r="L214" s="32" t="s">
        <v>1342</v>
      </c>
      <c r="M214" s="31">
        <v>1</v>
      </c>
      <c r="N214" s="31">
        <v>1</v>
      </c>
      <c r="O214" s="31" t="s">
        <v>700</v>
      </c>
      <c r="P214" s="31" t="s">
        <v>702</v>
      </c>
      <c r="Q214" s="31" t="s">
        <v>701</v>
      </c>
      <c r="R214" s="31"/>
      <c r="S214" s="31" t="s">
        <v>706</v>
      </c>
      <c r="T214" s="53" t="s">
        <v>1800</v>
      </c>
    </row>
    <row r="215" spans="1:20" ht="105" customHeight="1">
      <c r="A215" s="31">
        <v>118</v>
      </c>
      <c r="B215" s="31">
        <v>413</v>
      </c>
      <c r="C215" s="31" t="s">
        <v>79</v>
      </c>
      <c r="D215" s="31">
        <v>2063</v>
      </c>
      <c r="E215" s="31" t="s">
        <v>57</v>
      </c>
      <c r="F215" s="32" t="s">
        <v>547</v>
      </c>
      <c r="G215" s="31">
        <v>0</v>
      </c>
      <c r="H215" s="31">
        <v>0</v>
      </c>
      <c r="I215" s="32" t="s">
        <v>151</v>
      </c>
      <c r="J215" s="32" t="s">
        <v>1346</v>
      </c>
      <c r="K215" s="32" t="s">
        <v>1347</v>
      </c>
      <c r="L215" s="32" t="s">
        <v>152</v>
      </c>
      <c r="M215" s="31">
        <v>1</v>
      </c>
      <c r="N215" s="31">
        <v>1</v>
      </c>
      <c r="O215" s="31" t="s">
        <v>700</v>
      </c>
      <c r="P215" s="31" t="s">
        <v>702</v>
      </c>
      <c r="Q215" s="31" t="s">
        <v>701</v>
      </c>
      <c r="R215" s="31" t="s">
        <v>24</v>
      </c>
      <c r="S215" s="31" t="s">
        <v>706</v>
      </c>
      <c r="T215" s="53" t="s">
        <v>1801</v>
      </c>
    </row>
    <row r="216" spans="1:20" ht="105" customHeight="1">
      <c r="A216" s="31">
        <v>119</v>
      </c>
      <c r="B216" s="31">
        <v>414</v>
      </c>
      <c r="C216" s="31" t="s">
        <v>548</v>
      </c>
      <c r="D216" s="31">
        <v>2067</v>
      </c>
      <c r="E216" s="31" t="s">
        <v>46</v>
      </c>
      <c r="F216" s="32" t="s">
        <v>550</v>
      </c>
      <c r="G216" s="31">
        <v>1</v>
      </c>
      <c r="H216" s="31">
        <v>0</v>
      </c>
      <c r="I216" s="32" t="s">
        <v>1348</v>
      </c>
      <c r="J216" s="32" t="s">
        <v>1349</v>
      </c>
      <c r="K216" s="32" t="s">
        <v>1350</v>
      </c>
      <c r="L216" s="32" t="s">
        <v>1351</v>
      </c>
      <c r="M216" s="31">
        <v>0</v>
      </c>
      <c r="N216" s="31">
        <v>103</v>
      </c>
      <c r="O216" s="31" t="s">
        <v>726</v>
      </c>
      <c r="P216" s="31" t="s">
        <v>702</v>
      </c>
      <c r="Q216" s="31" t="s">
        <v>701</v>
      </c>
      <c r="R216" s="31"/>
      <c r="S216" s="31" t="s">
        <v>706</v>
      </c>
      <c r="T216" s="53" t="s">
        <v>1802</v>
      </c>
    </row>
    <row r="217" spans="1:20" ht="105" customHeight="1">
      <c r="A217" s="31">
        <v>120</v>
      </c>
      <c r="B217" s="31">
        <v>420</v>
      </c>
      <c r="C217" s="31" t="s">
        <v>81</v>
      </c>
      <c r="D217" s="31">
        <v>2098</v>
      </c>
      <c r="E217" s="31" t="s">
        <v>67</v>
      </c>
      <c r="F217" s="32" t="s">
        <v>552</v>
      </c>
      <c r="G217" s="31">
        <v>0</v>
      </c>
      <c r="H217" s="31">
        <v>0</v>
      </c>
      <c r="I217" s="32" t="s">
        <v>154</v>
      </c>
      <c r="J217" s="32" t="s">
        <v>1352</v>
      </c>
      <c r="K217" s="32" t="s">
        <v>1353</v>
      </c>
      <c r="L217" s="32" t="s">
        <v>155</v>
      </c>
      <c r="M217" s="31">
        <v>10</v>
      </c>
      <c r="N217" s="31">
        <v>10</v>
      </c>
      <c r="O217" s="31" t="s">
        <v>762</v>
      </c>
      <c r="P217" s="31" t="s">
        <v>701</v>
      </c>
      <c r="Q217" s="31" t="s">
        <v>701</v>
      </c>
      <c r="R217" s="31" t="s">
        <v>23</v>
      </c>
      <c r="S217" s="31" t="s">
        <v>1768</v>
      </c>
      <c r="T217" s="53" t="s">
        <v>1803</v>
      </c>
    </row>
    <row r="218" spans="1:20" ht="105" customHeight="1">
      <c r="A218" s="31">
        <v>120</v>
      </c>
      <c r="B218" s="31">
        <v>420</v>
      </c>
      <c r="C218" s="31" t="s">
        <v>81</v>
      </c>
      <c r="D218" s="31">
        <v>2099</v>
      </c>
      <c r="E218" s="31" t="s">
        <v>67</v>
      </c>
      <c r="F218" s="32" t="s">
        <v>1354</v>
      </c>
      <c r="G218" s="31">
        <v>0</v>
      </c>
      <c r="H218" s="31">
        <v>0</v>
      </c>
      <c r="I218" s="32" t="s">
        <v>154</v>
      </c>
      <c r="J218" s="32" t="s">
        <v>1352</v>
      </c>
      <c r="K218" s="32" t="s">
        <v>1353</v>
      </c>
      <c r="L218" s="32" t="s">
        <v>155</v>
      </c>
      <c r="M218" s="31">
        <v>10</v>
      </c>
      <c r="N218" s="31">
        <v>10</v>
      </c>
      <c r="O218" s="31" t="s">
        <v>762</v>
      </c>
      <c r="P218" s="31" t="s">
        <v>701</v>
      </c>
      <c r="Q218" s="31" t="s">
        <v>701</v>
      </c>
      <c r="R218" s="31" t="s">
        <v>23</v>
      </c>
      <c r="S218" s="31" t="s">
        <v>1768</v>
      </c>
      <c r="T218" s="53" t="s">
        <v>1803</v>
      </c>
    </row>
    <row r="219" spans="1:20" ht="105" customHeight="1">
      <c r="A219" s="31">
        <v>121</v>
      </c>
      <c r="B219" s="31">
        <v>424</v>
      </c>
      <c r="C219" s="31" t="s">
        <v>553</v>
      </c>
      <c r="D219" s="31">
        <v>2118</v>
      </c>
      <c r="E219" s="31" t="s">
        <v>208</v>
      </c>
      <c r="F219" s="32" t="s">
        <v>555</v>
      </c>
      <c r="G219" s="31">
        <v>1</v>
      </c>
      <c r="H219" s="31">
        <v>0</v>
      </c>
      <c r="I219" s="32" t="s">
        <v>1355</v>
      </c>
      <c r="J219" s="32" t="s">
        <v>1356</v>
      </c>
      <c r="K219" s="32" t="s">
        <v>1357</v>
      </c>
      <c r="L219" s="32" t="s">
        <v>1358</v>
      </c>
      <c r="M219" s="31">
        <v>0</v>
      </c>
      <c r="N219" s="31">
        <v>1</v>
      </c>
      <c r="O219" s="31" t="s">
        <v>726</v>
      </c>
      <c r="P219" s="31" t="s">
        <v>702</v>
      </c>
      <c r="Q219" s="31" t="s">
        <v>701</v>
      </c>
      <c r="R219" s="31"/>
      <c r="S219" s="31" t="s">
        <v>706</v>
      </c>
      <c r="T219" s="53" t="s">
        <v>1804</v>
      </c>
    </row>
    <row r="220" spans="1:20" ht="105" customHeight="1">
      <c r="A220" s="31">
        <v>122</v>
      </c>
      <c r="B220" s="31">
        <v>427</v>
      </c>
      <c r="C220" s="31" t="s">
        <v>556</v>
      </c>
      <c r="D220" s="31">
        <v>2131</v>
      </c>
      <c r="E220" s="31" t="s">
        <v>328</v>
      </c>
      <c r="F220" s="32" t="s">
        <v>558</v>
      </c>
      <c r="G220" s="31">
        <v>1</v>
      </c>
      <c r="H220" s="31">
        <v>0</v>
      </c>
      <c r="I220" s="32" t="s">
        <v>1359</v>
      </c>
      <c r="J220" s="32" t="s">
        <v>1360</v>
      </c>
      <c r="K220" s="32" t="s">
        <v>1361</v>
      </c>
      <c r="L220" s="32" t="s">
        <v>1362</v>
      </c>
      <c r="M220" s="31">
        <v>7</v>
      </c>
      <c r="N220" s="31">
        <v>2</v>
      </c>
      <c r="O220" s="31" t="s">
        <v>700</v>
      </c>
      <c r="P220" s="31" t="s">
        <v>702</v>
      </c>
      <c r="Q220" s="31" t="s">
        <v>701</v>
      </c>
      <c r="R220" s="31"/>
      <c r="S220" s="31" t="s">
        <v>706</v>
      </c>
      <c r="T220" s="53" t="s">
        <v>1805</v>
      </c>
    </row>
    <row r="221" spans="1:20" ht="105" customHeight="1">
      <c r="A221" s="31">
        <v>122</v>
      </c>
      <c r="B221" s="31">
        <v>427</v>
      </c>
      <c r="C221" s="31" t="s">
        <v>556</v>
      </c>
      <c r="D221" s="31">
        <v>2132</v>
      </c>
      <c r="E221" s="31" t="s">
        <v>328</v>
      </c>
      <c r="F221" s="32" t="s">
        <v>1363</v>
      </c>
      <c r="G221" s="31">
        <v>1</v>
      </c>
      <c r="H221" s="31">
        <v>0</v>
      </c>
      <c r="I221" s="32" t="s">
        <v>1359</v>
      </c>
      <c r="J221" s="32" t="s">
        <v>1364</v>
      </c>
      <c r="K221" s="32" t="s">
        <v>1365</v>
      </c>
      <c r="L221" s="32" t="s">
        <v>1362</v>
      </c>
      <c r="M221" s="31">
        <v>10</v>
      </c>
      <c r="N221" s="31">
        <v>2</v>
      </c>
      <c r="O221" s="31" t="s">
        <v>700</v>
      </c>
      <c r="P221" s="31" t="s">
        <v>702</v>
      </c>
      <c r="Q221" s="31" t="s">
        <v>701</v>
      </c>
      <c r="R221" s="31"/>
      <c r="S221" s="31" t="s">
        <v>706</v>
      </c>
      <c r="T221" s="53" t="s">
        <v>1805</v>
      </c>
    </row>
    <row r="222" spans="1:20" ht="105" customHeight="1">
      <c r="A222" s="31">
        <v>122</v>
      </c>
      <c r="B222" s="31">
        <v>427</v>
      </c>
      <c r="C222" s="31" t="s">
        <v>556</v>
      </c>
      <c r="D222" s="31">
        <v>2133</v>
      </c>
      <c r="E222" s="31" t="s">
        <v>328</v>
      </c>
      <c r="F222" s="32" t="s">
        <v>1366</v>
      </c>
      <c r="G222" s="31">
        <v>1</v>
      </c>
      <c r="H222" s="31">
        <v>0</v>
      </c>
      <c r="I222" s="32" t="s">
        <v>1359</v>
      </c>
      <c r="J222" s="32" t="s">
        <v>1367</v>
      </c>
      <c r="K222" s="32" t="s">
        <v>1368</v>
      </c>
      <c r="L222" s="32" t="s">
        <v>1362</v>
      </c>
      <c r="M222" s="31">
        <v>7</v>
      </c>
      <c r="N222" s="31">
        <v>2</v>
      </c>
      <c r="O222" s="31" t="s">
        <v>714</v>
      </c>
      <c r="P222" s="31" t="s">
        <v>702</v>
      </c>
      <c r="Q222" s="31" t="s">
        <v>701</v>
      </c>
      <c r="R222" s="31"/>
      <c r="S222" s="31" t="s">
        <v>706</v>
      </c>
      <c r="T222" s="53" t="s">
        <v>1805</v>
      </c>
    </row>
    <row r="223" spans="1:20" ht="105" customHeight="1">
      <c r="A223" s="31">
        <v>122</v>
      </c>
      <c r="B223" s="31">
        <v>427</v>
      </c>
      <c r="C223" s="31" t="s">
        <v>556</v>
      </c>
      <c r="D223" s="31">
        <v>2134</v>
      </c>
      <c r="E223" s="31" t="s">
        <v>328</v>
      </c>
      <c r="F223" s="32" t="s">
        <v>1369</v>
      </c>
      <c r="G223" s="31">
        <v>1</v>
      </c>
      <c r="H223" s="31">
        <v>0</v>
      </c>
      <c r="I223" s="32" t="s">
        <v>1359</v>
      </c>
      <c r="J223" s="32" t="s">
        <v>1364</v>
      </c>
      <c r="K223" s="32" t="s">
        <v>1365</v>
      </c>
      <c r="L223" s="32" t="s">
        <v>1362</v>
      </c>
      <c r="M223" s="31">
        <v>10</v>
      </c>
      <c r="N223" s="31">
        <v>2</v>
      </c>
      <c r="O223" s="31" t="s">
        <v>700</v>
      </c>
      <c r="P223" s="31" t="s">
        <v>702</v>
      </c>
      <c r="Q223" s="31" t="s">
        <v>701</v>
      </c>
      <c r="R223" s="31"/>
      <c r="S223" s="31" t="s">
        <v>706</v>
      </c>
      <c r="T223" s="53" t="s">
        <v>1805</v>
      </c>
    </row>
    <row r="224" spans="1:20" ht="105" customHeight="1">
      <c r="A224" s="31">
        <v>123</v>
      </c>
      <c r="B224" s="31">
        <v>429</v>
      </c>
      <c r="C224" s="31" t="s">
        <v>559</v>
      </c>
      <c r="D224" s="31">
        <v>2143</v>
      </c>
      <c r="E224" s="31" t="s">
        <v>318</v>
      </c>
      <c r="F224" s="32" t="s">
        <v>560</v>
      </c>
      <c r="G224" s="31">
        <v>1</v>
      </c>
      <c r="H224" s="31">
        <v>0</v>
      </c>
      <c r="I224" s="32" t="s">
        <v>1370</v>
      </c>
      <c r="J224" s="32" t="s">
        <v>1371</v>
      </c>
      <c r="K224" s="32" t="s">
        <v>1372</v>
      </c>
      <c r="L224" s="32" t="s">
        <v>1373</v>
      </c>
      <c r="M224" s="31">
        <v>3</v>
      </c>
      <c r="N224" s="31">
        <v>4</v>
      </c>
      <c r="O224" s="31" t="s">
        <v>762</v>
      </c>
      <c r="P224" s="31" t="s">
        <v>702</v>
      </c>
      <c r="Q224" s="31" t="s">
        <v>701</v>
      </c>
      <c r="R224" s="31"/>
      <c r="S224" s="31" t="s">
        <v>706</v>
      </c>
      <c r="T224" s="53" t="s">
        <v>1807</v>
      </c>
    </row>
    <row r="225" spans="1:20" ht="105" customHeight="1">
      <c r="A225" s="31">
        <v>124</v>
      </c>
      <c r="B225" s="31">
        <v>430</v>
      </c>
      <c r="C225" s="31" t="s">
        <v>561</v>
      </c>
      <c r="D225" s="31">
        <v>2149</v>
      </c>
      <c r="E225" s="31" t="s">
        <v>273</v>
      </c>
      <c r="F225" s="32" t="s">
        <v>563</v>
      </c>
      <c r="G225" s="31">
        <v>1</v>
      </c>
      <c r="H225" s="31">
        <v>0</v>
      </c>
      <c r="I225" s="32" t="s">
        <v>1374</v>
      </c>
      <c r="J225" s="32" t="s">
        <v>1375</v>
      </c>
      <c r="K225" s="32" t="s">
        <v>1376</v>
      </c>
      <c r="L225" s="32" t="s">
        <v>1377</v>
      </c>
      <c r="M225" s="31">
        <v>6</v>
      </c>
      <c r="N225" s="31">
        <v>1</v>
      </c>
      <c r="O225" s="31" t="s">
        <v>714</v>
      </c>
      <c r="P225" s="31" t="s">
        <v>702</v>
      </c>
      <c r="Q225" s="31" t="s">
        <v>701</v>
      </c>
      <c r="R225" s="31"/>
      <c r="S225" s="31" t="s">
        <v>706</v>
      </c>
      <c r="T225" s="53" t="s">
        <v>1808</v>
      </c>
    </row>
    <row r="226" spans="1:20" ht="105" customHeight="1">
      <c r="A226" s="31">
        <v>125</v>
      </c>
      <c r="B226" s="31">
        <v>431</v>
      </c>
      <c r="C226" s="31" t="s">
        <v>564</v>
      </c>
      <c r="D226" s="31">
        <v>2153</v>
      </c>
      <c r="E226" s="31" t="s">
        <v>388</v>
      </c>
      <c r="F226" s="32" t="s">
        <v>566</v>
      </c>
      <c r="G226" s="31">
        <v>1</v>
      </c>
      <c r="H226" s="31">
        <v>0</v>
      </c>
      <c r="I226" s="32" t="s">
        <v>1378</v>
      </c>
      <c r="J226" s="32" t="s">
        <v>1379</v>
      </c>
      <c r="K226" s="32" t="s">
        <v>1380</v>
      </c>
      <c r="L226" s="32" t="s">
        <v>1381</v>
      </c>
      <c r="M226" s="31">
        <v>5</v>
      </c>
      <c r="N226" s="31">
        <v>1</v>
      </c>
      <c r="O226" s="31" t="s">
        <v>700</v>
      </c>
      <c r="P226" s="31" t="s">
        <v>701</v>
      </c>
      <c r="Q226" s="31" t="s">
        <v>701</v>
      </c>
      <c r="R226" s="31"/>
      <c r="S226" s="31" t="s">
        <v>1697</v>
      </c>
      <c r="T226" s="53"/>
    </row>
    <row r="227" spans="1:20" ht="105" customHeight="1">
      <c r="A227" s="31">
        <v>126</v>
      </c>
      <c r="B227" s="31">
        <v>435</v>
      </c>
      <c r="C227" s="31" t="s">
        <v>567</v>
      </c>
      <c r="D227" s="31">
        <v>2174</v>
      </c>
      <c r="E227" s="31" t="s">
        <v>218</v>
      </c>
      <c r="F227" s="32" t="s">
        <v>569</v>
      </c>
      <c r="G227" s="31">
        <v>1</v>
      </c>
      <c r="H227" s="31">
        <v>0</v>
      </c>
      <c r="I227" s="32" t="s">
        <v>1382</v>
      </c>
      <c r="J227" s="32" t="s">
        <v>1383</v>
      </c>
      <c r="K227" s="32" t="s">
        <v>1384</v>
      </c>
      <c r="L227" s="32" t="s">
        <v>1385</v>
      </c>
      <c r="M227" s="31">
        <v>15</v>
      </c>
      <c r="N227" s="31">
        <v>5</v>
      </c>
      <c r="O227" s="31" t="s">
        <v>700</v>
      </c>
      <c r="P227" s="31" t="s">
        <v>702</v>
      </c>
      <c r="Q227" s="31" t="s">
        <v>701</v>
      </c>
      <c r="R227" s="31"/>
      <c r="S227" s="31" t="s">
        <v>706</v>
      </c>
      <c r="T227" s="53" t="s">
        <v>1809</v>
      </c>
    </row>
    <row r="228" spans="1:20" ht="105" customHeight="1">
      <c r="A228" s="31">
        <v>127</v>
      </c>
      <c r="B228" s="31">
        <v>437</v>
      </c>
      <c r="C228" s="31" t="s">
        <v>570</v>
      </c>
      <c r="D228" s="31">
        <v>2182</v>
      </c>
      <c r="E228" s="31" t="s">
        <v>63</v>
      </c>
      <c r="F228" s="32" t="s">
        <v>572</v>
      </c>
      <c r="G228" s="31">
        <v>1</v>
      </c>
      <c r="H228" s="31">
        <v>0</v>
      </c>
      <c r="I228" s="32" t="s">
        <v>1386</v>
      </c>
      <c r="J228" s="32" t="s">
        <v>1387</v>
      </c>
      <c r="K228" s="32" t="s">
        <v>1388</v>
      </c>
      <c r="L228" s="32" t="s">
        <v>1389</v>
      </c>
      <c r="M228" s="31">
        <v>23</v>
      </c>
      <c r="N228" s="31">
        <v>23</v>
      </c>
      <c r="O228" s="31" t="s">
        <v>769</v>
      </c>
      <c r="P228" s="31" t="s">
        <v>701</v>
      </c>
      <c r="Q228" s="31" t="s">
        <v>701</v>
      </c>
      <c r="R228" s="31"/>
      <c r="S228" s="31" t="s">
        <v>1768</v>
      </c>
      <c r="T228" s="53" t="s">
        <v>1810</v>
      </c>
    </row>
    <row r="229" spans="1:20" ht="105" customHeight="1">
      <c r="A229" s="31">
        <v>127</v>
      </c>
      <c r="B229" s="31">
        <v>437</v>
      </c>
      <c r="C229" s="31" t="s">
        <v>570</v>
      </c>
      <c r="D229" s="31">
        <v>2183</v>
      </c>
      <c r="E229" s="31" t="s">
        <v>63</v>
      </c>
      <c r="F229" s="32" t="s">
        <v>1390</v>
      </c>
      <c r="G229" s="31">
        <v>1</v>
      </c>
      <c r="H229" s="31">
        <v>0</v>
      </c>
      <c r="I229" s="32" t="s">
        <v>1386</v>
      </c>
      <c r="J229" s="32" t="s">
        <v>1391</v>
      </c>
      <c r="K229" s="32" t="s">
        <v>1388</v>
      </c>
      <c r="L229" s="32" t="s">
        <v>1389</v>
      </c>
      <c r="M229" s="31">
        <v>23</v>
      </c>
      <c r="N229" s="31">
        <v>23</v>
      </c>
      <c r="O229" s="31" t="s">
        <v>769</v>
      </c>
      <c r="P229" s="31" t="s">
        <v>701</v>
      </c>
      <c r="Q229" s="31" t="s">
        <v>701</v>
      </c>
      <c r="R229" s="31"/>
      <c r="S229" s="31" t="s">
        <v>1768</v>
      </c>
      <c r="T229" s="53" t="s">
        <v>1810</v>
      </c>
    </row>
    <row r="230" spans="1:20" ht="105" customHeight="1">
      <c r="A230" s="31">
        <v>127</v>
      </c>
      <c r="B230" s="31">
        <v>437</v>
      </c>
      <c r="C230" s="31" t="s">
        <v>570</v>
      </c>
      <c r="D230" s="31">
        <v>2184</v>
      </c>
      <c r="E230" s="31" t="s">
        <v>63</v>
      </c>
      <c r="F230" s="32" t="s">
        <v>1392</v>
      </c>
      <c r="G230" s="31">
        <v>1</v>
      </c>
      <c r="H230" s="31">
        <v>0</v>
      </c>
      <c r="I230" s="32" t="s">
        <v>1386</v>
      </c>
      <c r="J230" s="32" t="s">
        <v>1391</v>
      </c>
      <c r="K230" s="32" t="s">
        <v>1388</v>
      </c>
      <c r="L230" s="32" t="s">
        <v>1389</v>
      </c>
      <c r="M230" s="31">
        <v>23</v>
      </c>
      <c r="N230" s="31">
        <v>23</v>
      </c>
      <c r="O230" s="31" t="s">
        <v>769</v>
      </c>
      <c r="P230" s="31" t="s">
        <v>701</v>
      </c>
      <c r="Q230" s="31" t="s">
        <v>701</v>
      </c>
      <c r="R230" s="31"/>
      <c r="S230" s="31" t="s">
        <v>1768</v>
      </c>
      <c r="T230" s="53" t="s">
        <v>1810</v>
      </c>
    </row>
    <row r="231" spans="1:20" ht="105" customHeight="1">
      <c r="A231" s="31">
        <v>129</v>
      </c>
      <c r="B231" s="31">
        <v>439</v>
      </c>
      <c r="C231" s="31" t="s">
        <v>84</v>
      </c>
      <c r="D231" s="31">
        <v>2190</v>
      </c>
      <c r="E231" s="31" t="s">
        <v>76</v>
      </c>
      <c r="F231" s="32" t="s">
        <v>156</v>
      </c>
      <c r="G231" s="31">
        <v>0</v>
      </c>
      <c r="H231" s="31">
        <v>0</v>
      </c>
      <c r="I231" s="32" t="s">
        <v>157</v>
      </c>
      <c r="J231" s="32" t="s">
        <v>1393</v>
      </c>
      <c r="K231" s="32" t="s">
        <v>1394</v>
      </c>
      <c r="L231" s="32" t="s">
        <v>158</v>
      </c>
      <c r="M231" s="31">
        <v>9</v>
      </c>
      <c r="N231" s="31">
        <v>8</v>
      </c>
      <c r="O231" s="31" t="s">
        <v>700</v>
      </c>
      <c r="P231" s="31" t="s">
        <v>701</v>
      </c>
      <c r="Q231" s="31" t="s">
        <v>701</v>
      </c>
      <c r="R231" s="31" t="s">
        <v>23</v>
      </c>
      <c r="S231" s="31" t="s">
        <v>1812</v>
      </c>
      <c r="T231" s="53" t="s">
        <v>1811</v>
      </c>
    </row>
    <row r="232" spans="1:20" ht="105" customHeight="1">
      <c r="A232" s="31">
        <v>129</v>
      </c>
      <c r="B232" s="31">
        <v>439</v>
      </c>
      <c r="C232" s="31" t="s">
        <v>84</v>
      </c>
      <c r="D232" s="31">
        <v>2191</v>
      </c>
      <c r="E232" s="31" t="s">
        <v>76</v>
      </c>
      <c r="F232" s="32" t="s">
        <v>1395</v>
      </c>
      <c r="G232" s="31">
        <v>0</v>
      </c>
      <c r="H232" s="31">
        <v>0</v>
      </c>
      <c r="I232" s="32" t="s">
        <v>157</v>
      </c>
      <c r="J232" s="32" t="s">
        <v>1393</v>
      </c>
      <c r="K232" s="32" t="s">
        <v>1394</v>
      </c>
      <c r="L232" s="32" t="s">
        <v>158</v>
      </c>
      <c r="M232" s="31">
        <v>9</v>
      </c>
      <c r="N232" s="31">
        <v>8</v>
      </c>
      <c r="O232" s="31" t="s">
        <v>700</v>
      </c>
      <c r="P232" s="31" t="s">
        <v>701</v>
      </c>
      <c r="Q232" s="31" t="s">
        <v>701</v>
      </c>
      <c r="R232" s="31" t="s">
        <v>23</v>
      </c>
      <c r="S232" s="31" t="s">
        <v>1812</v>
      </c>
      <c r="T232" s="53" t="s">
        <v>1811</v>
      </c>
    </row>
    <row r="233" spans="1:20" ht="105" customHeight="1">
      <c r="A233" s="31">
        <v>129</v>
      </c>
      <c r="B233" s="31">
        <v>439</v>
      </c>
      <c r="C233" s="31" t="s">
        <v>84</v>
      </c>
      <c r="D233" s="31">
        <v>2192</v>
      </c>
      <c r="E233" s="31" t="s">
        <v>76</v>
      </c>
      <c r="F233" s="32" t="s">
        <v>1396</v>
      </c>
      <c r="G233" s="31">
        <v>0</v>
      </c>
      <c r="H233" s="31">
        <v>0</v>
      </c>
      <c r="I233" s="32" t="s">
        <v>157</v>
      </c>
      <c r="J233" s="32" t="s">
        <v>1397</v>
      </c>
      <c r="K233" s="32" t="s">
        <v>1394</v>
      </c>
      <c r="L233" s="32" t="s">
        <v>158</v>
      </c>
      <c r="M233" s="31">
        <v>9</v>
      </c>
      <c r="N233" s="31">
        <v>8</v>
      </c>
      <c r="O233" s="31" t="s">
        <v>700</v>
      </c>
      <c r="P233" s="31" t="s">
        <v>701</v>
      </c>
      <c r="Q233" s="31" t="s">
        <v>701</v>
      </c>
      <c r="R233" s="31" t="s">
        <v>23</v>
      </c>
      <c r="S233" s="31" t="s">
        <v>1812</v>
      </c>
      <c r="T233" s="53" t="s">
        <v>1811</v>
      </c>
    </row>
    <row r="234" spans="1:20" ht="105" customHeight="1">
      <c r="A234" s="31">
        <v>129</v>
      </c>
      <c r="B234" s="31">
        <v>439</v>
      </c>
      <c r="C234" s="31" t="s">
        <v>84</v>
      </c>
      <c r="D234" s="31">
        <v>2193</v>
      </c>
      <c r="E234" s="31" t="s">
        <v>76</v>
      </c>
      <c r="F234" s="32" t="s">
        <v>1398</v>
      </c>
      <c r="G234" s="31">
        <v>0</v>
      </c>
      <c r="H234" s="31">
        <v>0</v>
      </c>
      <c r="I234" s="32" t="s">
        <v>157</v>
      </c>
      <c r="J234" s="32" t="s">
        <v>1397</v>
      </c>
      <c r="K234" s="32" t="s">
        <v>1394</v>
      </c>
      <c r="L234" s="32" t="s">
        <v>158</v>
      </c>
      <c r="M234" s="31">
        <v>9</v>
      </c>
      <c r="N234" s="31">
        <v>8</v>
      </c>
      <c r="O234" s="31" t="s">
        <v>700</v>
      </c>
      <c r="P234" s="31" t="s">
        <v>701</v>
      </c>
      <c r="Q234" s="31" t="s">
        <v>701</v>
      </c>
      <c r="R234" s="31" t="s">
        <v>23</v>
      </c>
      <c r="S234" s="31" t="s">
        <v>1812</v>
      </c>
      <c r="T234" s="53" t="s">
        <v>1811</v>
      </c>
    </row>
    <row r="235" spans="1:20" ht="105" customHeight="1">
      <c r="A235" s="31">
        <v>129</v>
      </c>
      <c r="B235" s="31">
        <v>439</v>
      </c>
      <c r="C235" s="31" t="s">
        <v>84</v>
      </c>
      <c r="D235" s="31">
        <v>2194</v>
      </c>
      <c r="E235" s="31" t="s">
        <v>76</v>
      </c>
      <c r="F235" s="32" t="s">
        <v>1399</v>
      </c>
      <c r="G235" s="31">
        <v>0</v>
      </c>
      <c r="H235" s="31">
        <v>0</v>
      </c>
      <c r="I235" s="32" t="s">
        <v>157</v>
      </c>
      <c r="J235" s="32" t="s">
        <v>1393</v>
      </c>
      <c r="K235" s="32" t="s">
        <v>1394</v>
      </c>
      <c r="L235" s="32" t="s">
        <v>158</v>
      </c>
      <c r="M235" s="31">
        <v>9</v>
      </c>
      <c r="N235" s="31">
        <v>8</v>
      </c>
      <c r="O235" s="31" t="s">
        <v>700</v>
      </c>
      <c r="P235" s="31" t="s">
        <v>701</v>
      </c>
      <c r="Q235" s="31" t="s">
        <v>701</v>
      </c>
      <c r="R235" s="31" t="s">
        <v>23</v>
      </c>
      <c r="S235" s="31" t="s">
        <v>1812</v>
      </c>
      <c r="T235" s="53" t="s">
        <v>1811</v>
      </c>
    </row>
    <row r="236" spans="1:20" ht="105" customHeight="1">
      <c r="A236" s="31">
        <v>130</v>
      </c>
      <c r="B236" s="31">
        <v>442</v>
      </c>
      <c r="C236" s="31" t="s">
        <v>576</v>
      </c>
      <c r="D236" s="31">
        <v>2208</v>
      </c>
      <c r="E236" s="31" t="s">
        <v>269</v>
      </c>
      <c r="F236" s="32" t="s">
        <v>578</v>
      </c>
      <c r="G236" s="31">
        <v>1</v>
      </c>
      <c r="H236" s="31">
        <v>0</v>
      </c>
      <c r="I236" s="32" t="s">
        <v>1400</v>
      </c>
      <c r="J236" s="32" t="s">
        <v>1401</v>
      </c>
      <c r="K236" s="32" t="s">
        <v>1402</v>
      </c>
      <c r="L236" s="32" t="s">
        <v>1403</v>
      </c>
      <c r="M236" s="31">
        <v>1</v>
      </c>
      <c r="N236" s="31">
        <v>1</v>
      </c>
      <c r="O236" s="31" t="s">
        <v>762</v>
      </c>
      <c r="P236" s="31" t="s">
        <v>701</v>
      </c>
      <c r="Q236" s="31" t="s">
        <v>701</v>
      </c>
      <c r="R236" s="31"/>
      <c r="S236" s="31" t="s">
        <v>1720</v>
      </c>
      <c r="T236" s="32" t="s">
        <v>1813</v>
      </c>
    </row>
    <row r="237" spans="1:20" ht="105" customHeight="1">
      <c r="A237" s="31">
        <v>131</v>
      </c>
      <c r="B237" s="31">
        <v>445</v>
      </c>
      <c r="C237" s="31" t="s">
        <v>579</v>
      </c>
      <c r="D237" s="31">
        <v>2223</v>
      </c>
      <c r="E237" s="31" t="s">
        <v>54</v>
      </c>
      <c r="F237" s="32" t="s">
        <v>581</v>
      </c>
      <c r="G237" s="31">
        <v>1</v>
      </c>
      <c r="H237" s="31">
        <v>0</v>
      </c>
      <c r="I237" s="32" t="s">
        <v>1404</v>
      </c>
      <c r="J237" s="32" t="s">
        <v>1405</v>
      </c>
      <c r="K237" s="32" t="s">
        <v>1406</v>
      </c>
      <c r="L237" s="32" t="s">
        <v>1407</v>
      </c>
      <c r="M237" s="31">
        <v>4</v>
      </c>
      <c r="N237" s="31">
        <v>1</v>
      </c>
      <c r="O237" s="31" t="s">
        <v>700</v>
      </c>
      <c r="P237" s="31" t="s">
        <v>702</v>
      </c>
      <c r="Q237" s="31" t="s">
        <v>701</v>
      </c>
      <c r="R237" s="31"/>
      <c r="S237" s="31" t="s">
        <v>706</v>
      </c>
      <c r="T237" s="53" t="s">
        <v>1814</v>
      </c>
    </row>
    <row r="238" spans="1:20" ht="105" customHeight="1">
      <c r="A238" s="31">
        <v>131</v>
      </c>
      <c r="B238" s="31">
        <v>445</v>
      </c>
      <c r="C238" s="31" t="s">
        <v>579</v>
      </c>
      <c r="D238" s="31">
        <v>2224</v>
      </c>
      <c r="E238" s="31" t="s">
        <v>54</v>
      </c>
      <c r="F238" s="32" t="s">
        <v>1408</v>
      </c>
      <c r="G238" s="31">
        <v>1</v>
      </c>
      <c r="H238" s="31">
        <v>0</v>
      </c>
      <c r="I238" s="32" t="s">
        <v>1404</v>
      </c>
      <c r="J238" s="32" t="s">
        <v>1409</v>
      </c>
      <c r="K238" s="32" t="s">
        <v>1410</v>
      </c>
      <c r="L238" s="32" t="s">
        <v>1407</v>
      </c>
      <c r="M238" s="31">
        <v>0</v>
      </c>
      <c r="N238" s="31">
        <v>1</v>
      </c>
      <c r="O238" s="31" t="s">
        <v>726</v>
      </c>
      <c r="P238" s="31" t="s">
        <v>702</v>
      </c>
      <c r="Q238" s="31" t="s">
        <v>701</v>
      </c>
      <c r="R238" s="31"/>
      <c r="S238" s="31" t="s">
        <v>706</v>
      </c>
      <c r="T238" s="53" t="s">
        <v>1814</v>
      </c>
    </row>
    <row r="239" spans="1:20" ht="105" customHeight="1">
      <c r="A239" s="31">
        <v>132</v>
      </c>
      <c r="B239" s="31">
        <v>449</v>
      </c>
      <c r="C239" s="31" t="s">
        <v>582</v>
      </c>
      <c r="D239" s="31">
        <v>2242</v>
      </c>
      <c r="E239" s="31" t="s">
        <v>67</v>
      </c>
      <c r="F239" s="32" t="s">
        <v>584</v>
      </c>
      <c r="G239" s="31">
        <v>1</v>
      </c>
      <c r="H239" s="31">
        <v>0</v>
      </c>
      <c r="I239" s="32" t="s">
        <v>1411</v>
      </c>
      <c r="J239" s="32" t="s">
        <v>1412</v>
      </c>
      <c r="K239" s="32" t="s">
        <v>1413</v>
      </c>
      <c r="L239" s="32" t="s">
        <v>1414</v>
      </c>
      <c r="M239" s="31">
        <v>0</v>
      </c>
      <c r="N239" s="31">
        <v>2</v>
      </c>
      <c r="O239" s="31" t="s">
        <v>726</v>
      </c>
      <c r="P239" s="31" t="s">
        <v>702</v>
      </c>
      <c r="Q239" s="31" t="s">
        <v>701</v>
      </c>
      <c r="R239" s="31"/>
      <c r="S239" s="31" t="s">
        <v>706</v>
      </c>
      <c r="T239" s="53" t="s">
        <v>1815</v>
      </c>
    </row>
    <row r="240" spans="1:20" ht="105" customHeight="1">
      <c r="A240" s="31">
        <v>132</v>
      </c>
      <c r="B240" s="31">
        <v>449</v>
      </c>
      <c r="C240" s="31" t="s">
        <v>582</v>
      </c>
      <c r="D240" s="31">
        <v>2243</v>
      </c>
      <c r="E240" s="31" t="s">
        <v>67</v>
      </c>
      <c r="F240" s="32" t="s">
        <v>1415</v>
      </c>
      <c r="G240" s="31">
        <v>1</v>
      </c>
      <c r="H240" s="31">
        <v>0</v>
      </c>
      <c r="I240" s="32" t="s">
        <v>1411</v>
      </c>
      <c r="J240" s="32" t="s">
        <v>1416</v>
      </c>
      <c r="K240" s="32" t="s">
        <v>1417</v>
      </c>
      <c r="L240" s="32" t="s">
        <v>1414</v>
      </c>
      <c r="M240" s="31">
        <v>0</v>
      </c>
      <c r="N240" s="31">
        <v>2</v>
      </c>
      <c r="O240" s="31" t="s">
        <v>726</v>
      </c>
      <c r="P240" s="31" t="s">
        <v>702</v>
      </c>
      <c r="Q240" s="31" t="s">
        <v>701</v>
      </c>
      <c r="R240" s="31"/>
      <c r="S240" s="31" t="s">
        <v>706</v>
      </c>
      <c r="T240" s="53" t="s">
        <v>1815</v>
      </c>
    </row>
    <row r="241" spans="1:20" ht="105" customHeight="1">
      <c r="A241" s="31">
        <v>132</v>
      </c>
      <c r="B241" s="31">
        <v>449</v>
      </c>
      <c r="C241" s="31" t="s">
        <v>582</v>
      </c>
      <c r="D241" s="31">
        <v>2244</v>
      </c>
      <c r="E241" s="31" t="s">
        <v>67</v>
      </c>
      <c r="F241" s="32" t="s">
        <v>1418</v>
      </c>
      <c r="G241" s="31">
        <v>1</v>
      </c>
      <c r="H241" s="31">
        <v>0</v>
      </c>
      <c r="I241" s="32" t="s">
        <v>1411</v>
      </c>
      <c r="J241" s="32" t="s">
        <v>1412</v>
      </c>
      <c r="K241" s="32" t="s">
        <v>1413</v>
      </c>
      <c r="L241" s="32" t="s">
        <v>1414</v>
      </c>
      <c r="M241" s="31">
        <v>0</v>
      </c>
      <c r="N241" s="31">
        <v>2</v>
      </c>
      <c r="O241" s="31" t="s">
        <v>726</v>
      </c>
      <c r="P241" s="31" t="s">
        <v>702</v>
      </c>
      <c r="Q241" s="31" t="s">
        <v>701</v>
      </c>
      <c r="R241" s="31"/>
      <c r="S241" s="31" t="s">
        <v>706</v>
      </c>
      <c r="T241" s="53" t="s">
        <v>1815</v>
      </c>
    </row>
    <row r="242" spans="1:20" ht="105" customHeight="1">
      <c r="A242" s="31">
        <v>133</v>
      </c>
      <c r="B242" s="31">
        <v>451</v>
      </c>
      <c r="C242" s="31" t="s">
        <v>585</v>
      </c>
      <c r="D242" s="31">
        <v>2252</v>
      </c>
      <c r="E242" s="31" t="s">
        <v>88</v>
      </c>
      <c r="F242" s="32" t="s">
        <v>587</v>
      </c>
      <c r="G242" s="31">
        <v>1</v>
      </c>
      <c r="H242" s="31">
        <v>0</v>
      </c>
      <c r="I242" s="32" t="s">
        <v>1419</v>
      </c>
      <c r="J242" s="32" t="s">
        <v>1420</v>
      </c>
      <c r="K242" s="32" t="s">
        <v>1421</v>
      </c>
      <c r="L242" s="32" t="s">
        <v>1422</v>
      </c>
      <c r="M242" s="31">
        <v>1</v>
      </c>
      <c r="N242" s="31">
        <v>1</v>
      </c>
      <c r="O242" s="31" t="s">
        <v>762</v>
      </c>
      <c r="P242" s="31" t="s">
        <v>701</v>
      </c>
      <c r="Q242" s="31" t="s">
        <v>701</v>
      </c>
      <c r="R242" s="31"/>
      <c r="S242" s="31" t="s">
        <v>1720</v>
      </c>
      <c r="T242" s="53" t="s">
        <v>1816</v>
      </c>
    </row>
    <row r="243" spans="1:20" ht="105" customHeight="1">
      <c r="A243" s="31">
        <v>135</v>
      </c>
      <c r="B243" s="31">
        <v>454</v>
      </c>
      <c r="C243" s="31" t="s">
        <v>591</v>
      </c>
      <c r="D243" s="31">
        <v>2267</v>
      </c>
      <c r="E243" s="31" t="s">
        <v>41</v>
      </c>
      <c r="F243" s="32" t="s">
        <v>593</v>
      </c>
      <c r="G243" s="31">
        <v>1</v>
      </c>
      <c r="H243" s="31">
        <v>0</v>
      </c>
      <c r="I243" s="32" t="s">
        <v>1423</v>
      </c>
      <c r="J243" s="32" t="s">
        <v>1424</v>
      </c>
      <c r="K243" s="32" t="s">
        <v>1425</v>
      </c>
      <c r="L243" s="32" t="s">
        <v>1426</v>
      </c>
      <c r="M243" s="31">
        <v>18</v>
      </c>
      <c r="N243" s="31">
        <v>5</v>
      </c>
      <c r="O243" s="31" t="s">
        <v>787</v>
      </c>
      <c r="P243" s="31" t="s">
        <v>702</v>
      </c>
      <c r="Q243" s="31" t="s">
        <v>701</v>
      </c>
      <c r="R243" s="31"/>
      <c r="S243" s="31" t="s">
        <v>706</v>
      </c>
      <c r="T243" s="53" t="s">
        <v>1817</v>
      </c>
    </row>
    <row r="244" spans="1:20" ht="105" customHeight="1">
      <c r="A244" s="31">
        <v>135</v>
      </c>
      <c r="B244" s="31">
        <v>454</v>
      </c>
      <c r="C244" s="31" t="s">
        <v>591</v>
      </c>
      <c r="D244" s="31">
        <v>2269</v>
      </c>
      <c r="E244" s="31" t="s">
        <v>41</v>
      </c>
      <c r="F244" s="32" t="s">
        <v>1427</v>
      </c>
      <c r="G244" s="31">
        <v>1</v>
      </c>
      <c r="H244" s="31">
        <v>0</v>
      </c>
      <c r="I244" s="32" t="s">
        <v>1423</v>
      </c>
      <c r="J244" s="32" t="s">
        <v>1428</v>
      </c>
      <c r="K244" s="32" t="s">
        <v>1425</v>
      </c>
      <c r="L244" s="32" t="s">
        <v>1426</v>
      </c>
      <c r="M244" s="31">
        <v>18</v>
      </c>
      <c r="N244" s="31">
        <v>5</v>
      </c>
      <c r="O244" s="31" t="s">
        <v>787</v>
      </c>
      <c r="P244" s="31" t="s">
        <v>702</v>
      </c>
      <c r="Q244" s="31" t="s">
        <v>701</v>
      </c>
      <c r="R244" s="31"/>
      <c r="S244" s="31" t="s">
        <v>706</v>
      </c>
      <c r="T244" s="53" t="s">
        <v>1817</v>
      </c>
    </row>
    <row r="245" spans="1:20" ht="105" customHeight="1">
      <c r="A245" s="31">
        <v>136</v>
      </c>
      <c r="B245" s="31">
        <v>458</v>
      </c>
      <c r="C245" s="31" t="s">
        <v>87</v>
      </c>
      <c r="D245" s="31">
        <v>2285</v>
      </c>
      <c r="E245" s="31" t="s">
        <v>88</v>
      </c>
      <c r="F245" s="32" t="s">
        <v>159</v>
      </c>
      <c r="G245" s="31">
        <v>0</v>
      </c>
      <c r="H245" s="31">
        <v>0</v>
      </c>
      <c r="I245" s="32" t="s">
        <v>160</v>
      </c>
      <c r="J245" s="32" t="s">
        <v>1429</v>
      </c>
      <c r="K245" s="32" t="s">
        <v>1430</v>
      </c>
      <c r="L245" s="32" t="s">
        <v>161</v>
      </c>
      <c r="M245" s="31">
        <v>3</v>
      </c>
      <c r="N245" s="31">
        <v>8</v>
      </c>
      <c r="O245" s="31" t="s">
        <v>714</v>
      </c>
      <c r="P245" s="31" t="s">
        <v>701</v>
      </c>
      <c r="Q245" s="31" t="s">
        <v>701</v>
      </c>
      <c r="R245" s="31" t="s">
        <v>23</v>
      </c>
      <c r="S245" s="31" t="s">
        <v>1812</v>
      </c>
      <c r="T245" s="53" t="s">
        <v>1818</v>
      </c>
    </row>
    <row r="246" spans="1:20" ht="105" customHeight="1">
      <c r="A246" s="31">
        <v>136</v>
      </c>
      <c r="B246" s="31">
        <v>458</v>
      </c>
      <c r="C246" s="31" t="s">
        <v>87</v>
      </c>
      <c r="D246" s="31">
        <v>2286</v>
      </c>
      <c r="E246" s="31" t="s">
        <v>88</v>
      </c>
      <c r="F246" s="32" t="s">
        <v>1431</v>
      </c>
      <c r="G246" s="31">
        <v>0</v>
      </c>
      <c r="H246" s="31">
        <v>0</v>
      </c>
      <c r="I246" s="32" t="s">
        <v>160</v>
      </c>
      <c r="J246" s="32" t="s">
        <v>1429</v>
      </c>
      <c r="K246" s="32" t="s">
        <v>1430</v>
      </c>
      <c r="L246" s="32" t="s">
        <v>161</v>
      </c>
      <c r="M246" s="31">
        <v>3</v>
      </c>
      <c r="N246" s="31">
        <v>8</v>
      </c>
      <c r="O246" s="31" t="s">
        <v>714</v>
      </c>
      <c r="P246" s="31" t="s">
        <v>701</v>
      </c>
      <c r="Q246" s="31" t="s">
        <v>701</v>
      </c>
      <c r="R246" s="31" t="s">
        <v>23</v>
      </c>
      <c r="S246" s="31" t="s">
        <v>1812</v>
      </c>
      <c r="T246" s="53" t="s">
        <v>1818</v>
      </c>
    </row>
    <row r="247" spans="1:20" ht="105" customHeight="1">
      <c r="A247" s="31">
        <v>136</v>
      </c>
      <c r="B247" s="31">
        <v>458</v>
      </c>
      <c r="C247" s="31" t="s">
        <v>87</v>
      </c>
      <c r="D247" s="31">
        <v>2287</v>
      </c>
      <c r="E247" s="31" t="s">
        <v>88</v>
      </c>
      <c r="F247" s="32" t="s">
        <v>1432</v>
      </c>
      <c r="G247" s="31">
        <v>0</v>
      </c>
      <c r="H247" s="31">
        <v>0</v>
      </c>
      <c r="I247" s="32" t="s">
        <v>160</v>
      </c>
      <c r="J247" s="32" t="s">
        <v>1433</v>
      </c>
      <c r="K247" s="32" t="s">
        <v>1434</v>
      </c>
      <c r="L247" s="32" t="s">
        <v>161</v>
      </c>
      <c r="M247" s="31">
        <v>3</v>
      </c>
      <c r="N247" s="31">
        <v>8</v>
      </c>
      <c r="O247" s="31" t="s">
        <v>700</v>
      </c>
      <c r="P247" s="31" t="s">
        <v>701</v>
      </c>
      <c r="Q247" s="31" t="s">
        <v>701</v>
      </c>
      <c r="R247" s="31" t="s">
        <v>23</v>
      </c>
      <c r="S247" s="31" t="s">
        <v>1812</v>
      </c>
      <c r="T247" s="53" t="s">
        <v>1818</v>
      </c>
    </row>
    <row r="248" spans="1:20" ht="105" customHeight="1">
      <c r="A248" s="31">
        <v>136</v>
      </c>
      <c r="B248" s="31">
        <v>458</v>
      </c>
      <c r="C248" s="31" t="s">
        <v>87</v>
      </c>
      <c r="D248" s="31">
        <v>2288</v>
      </c>
      <c r="E248" s="31" t="s">
        <v>88</v>
      </c>
      <c r="F248" s="32" t="s">
        <v>1435</v>
      </c>
      <c r="G248" s="31">
        <v>0</v>
      </c>
      <c r="H248" s="31">
        <v>0</v>
      </c>
      <c r="I248" s="32" t="s">
        <v>160</v>
      </c>
      <c r="J248" s="32" t="s">
        <v>1436</v>
      </c>
      <c r="K248" s="32" t="s">
        <v>1430</v>
      </c>
      <c r="L248" s="32" t="s">
        <v>161</v>
      </c>
      <c r="M248" s="31">
        <v>3</v>
      </c>
      <c r="N248" s="31">
        <v>8</v>
      </c>
      <c r="O248" s="31" t="s">
        <v>714</v>
      </c>
      <c r="P248" s="31" t="s">
        <v>701</v>
      </c>
      <c r="Q248" s="31" t="s">
        <v>701</v>
      </c>
      <c r="R248" s="31" t="s">
        <v>23</v>
      </c>
      <c r="S248" s="31" t="s">
        <v>1812</v>
      </c>
      <c r="T248" s="53" t="s">
        <v>1818</v>
      </c>
    </row>
    <row r="249" spans="1:20" ht="105" customHeight="1">
      <c r="A249" s="31">
        <v>136</v>
      </c>
      <c r="B249" s="31">
        <v>458</v>
      </c>
      <c r="C249" s="31" t="s">
        <v>87</v>
      </c>
      <c r="D249" s="31">
        <v>2289</v>
      </c>
      <c r="E249" s="31" t="s">
        <v>88</v>
      </c>
      <c r="F249" s="32" t="s">
        <v>1437</v>
      </c>
      <c r="G249" s="31">
        <v>0</v>
      </c>
      <c r="H249" s="31">
        <v>0</v>
      </c>
      <c r="I249" s="32" t="s">
        <v>160</v>
      </c>
      <c r="J249" s="32" t="s">
        <v>1433</v>
      </c>
      <c r="K249" s="32" t="s">
        <v>1434</v>
      </c>
      <c r="L249" s="32" t="s">
        <v>161</v>
      </c>
      <c r="M249" s="31">
        <v>3</v>
      </c>
      <c r="N249" s="31">
        <v>8</v>
      </c>
      <c r="O249" s="31" t="s">
        <v>700</v>
      </c>
      <c r="P249" s="31" t="s">
        <v>701</v>
      </c>
      <c r="Q249" s="31" t="s">
        <v>701</v>
      </c>
      <c r="R249" s="31" t="s">
        <v>23</v>
      </c>
      <c r="S249" s="31" t="s">
        <v>1812</v>
      </c>
      <c r="T249" s="53" t="s">
        <v>1818</v>
      </c>
    </row>
    <row r="250" spans="1:20" ht="105" customHeight="1">
      <c r="A250" s="31">
        <v>137</v>
      </c>
      <c r="B250" s="31">
        <v>460</v>
      </c>
      <c r="C250" s="31" t="s">
        <v>595</v>
      </c>
      <c r="D250" s="31">
        <v>2297</v>
      </c>
      <c r="E250" s="31" t="s">
        <v>222</v>
      </c>
      <c r="F250" s="32" t="s">
        <v>597</v>
      </c>
      <c r="G250" s="31">
        <v>1</v>
      </c>
      <c r="H250" s="31">
        <v>0</v>
      </c>
      <c r="I250" s="32" t="s">
        <v>1438</v>
      </c>
      <c r="J250" s="32" t="s">
        <v>1439</v>
      </c>
      <c r="K250" s="32" t="s">
        <v>1440</v>
      </c>
      <c r="L250" s="32" t="s">
        <v>1441</v>
      </c>
      <c r="M250" s="31">
        <v>5987</v>
      </c>
      <c r="N250" s="31">
        <v>547</v>
      </c>
      <c r="O250" s="31" t="s">
        <v>700</v>
      </c>
      <c r="P250" s="31" t="s">
        <v>702</v>
      </c>
      <c r="Q250" s="31" t="s">
        <v>701</v>
      </c>
      <c r="R250" s="31"/>
      <c r="S250" s="31" t="s">
        <v>706</v>
      </c>
      <c r="T250" s="53" t="s">
        <v>1819</v>
      </c>
    </row>
    <row r="251" spans="1:20" ht="105" customHeight="1">
      <c r="A251" s="31">
        <v>138</v>
      </c>
      <c r="B251" s="31">
        <v>466</v>
      </c>
      <c r="C251" s="31" t="s">
        <v>598</v>
      </c>
      <c r="D251" s="31">
        <v>2325</v>
      </c>
      <c r="E251" s="31" t="s">
        <v>41</v>
      </c>
      <c r="F251" s="32" t="s">
        <v>600</v>
      </c>
      <c r="G251" s="31">
        <v>1</v>
      </c>
      <c r="H251" s="31">
        <v>0</v>
      </c>
      <c r="I251" s="32" t="s">
        <v>1442</v>
      </c>
      <c r="J251" s="32" t="s">
        <v>1443</v>
      </c>
      <c r="K251" s="32" t="s">
        <v>1444</v>
      </c>
      <c r="L251" s="32" t="s">
        <v>1445</v>
      </c>
      <c r="M251" s="31">
        <v>20</v>
      </c>
      <c r="N251" s="31">
        <v>400</v>
      </c>
      <c r="O251" s="31" t="s">
        <v>700</v>
      </c>
      <c r="P251" s="31" t="s">
        <v>701</v>
      </c>
      <c r="Q251" s="31" t="s">
        <v>701</v>
      </c>
      <c r="R251" s="31" t="s">
        <v>1821</v>
      </c>
      <c r="S251" s="31" t="s">
        <v>1821</v>
      </c>
      <c r="T251" s="53" t="s">
        <v>1820</v>
      </c>
    </row>
    <row r="252" spans="1:20" ht="105" customHeight="1">
      <c r="A252" s="31">
        <v>138</v>
      </c>
      <c r="B252" s="31">
        <v>466</v>
      </c>
      <c r="C252" s="31" t="s">
        <v>598</v>
      </c>
      <c r="D252" s="31">
        <v>2326</v>
      </c>
      <c r="E252" s="31" t="s">
        <v>41</v>
      </c>
      <c r="F252" s="32" t="s">
        <v>1446</v>
      </c>
      <c r="G252" s="31">
        <v>1</v>
      </c>
      <c r="H252" s="31">
        <v>0</v>
      </c>
      <c r="I252" s="32" t="s">
        <v>1442</v>
      </c>
      <c r="J252" s="32" t="s">
        <v>1443</v>
      </c>
      <c r="K252" s="32" t="s">
        <v>1444</v>
      </c>
      <c r="L252" s="32" t="s">
        <v>1445</v>
      </c>
      <c r="M252" s="31">
        <v>20</v>
      </c>
      <c r="N252" s="31">
        <v>400</v>
      </c>
      <c r="O252" s="31" t="s">
        <v>700</v>
      </c>
      <c r="P252" s="31" t="s">
        <v>701</v>
      </c>
      <c r="Q252" s="31" t="s">
        <v>701</v>
      </c>
      <c r="R252" s="31" t="s">
        <v>1821</v>
      </c>
      <c r="S252" s="31" t="s">
        <v>1821</v>
      </c>
      <c r="T252" s="53" t="s">
        <v>1820</v>
      </c>
    </row>
    <row r="253" spans="1:20" ht="105" customHeight="1">
      <c r="A253" s="31">
        <v>138</v>
      </c>
      <c r="B253" s="31">
        <v>466</v>
      </c>
      <c r="C253" s="31" t="s">
        <v>598</v>
      </c>
      <c r="D253" s="31">
        <v>2327</v>
      </c>
      <c r="E253" s="31" t="s">
        <v>41</v>
      </c>
      <c r="F253" s="32" t="s">
        <v>1447</v>
      </c>
      <c r="G253" s="31">
        <v>1</v>
      </c>
      <c r="H253" s="31">
        <v>0</v>
      </c>
      <c r="I253" s="32" t="s">
        <v>1442</v>
      </c>
      <c r="J253" s="32" t="s">
        <v>1448</v>
      </c>
      <c r="K253" s="32" t="s">
        <v>1449</v>
      </c>
      <c r="L253" s="32" t="s">
        <v>1445</v>
      </c>
      <c r="M253" s="31">
        <v>20</v>
      </c>
      <c r="N253" s="31">
        <v>400</v>
      </c>
      <c r="O253" s="31" t="s">
        <v>700</v>
      </c>
      <c r="P253" s="31" t="s">
        <v>701</v>
      </c>
      <c r="Q253" s="31" t="s">
        <v>701</v>
      </c>
      <c r="R253" s="31" t="s">
        <v>1821</v>
      </c>
      <c r="S253" s="31" t="s">
        <v>1821</v>
      </c>
      <c r="T253" s="53" t="s">
        <v>1820</v>
      </c>
    </row>
    <row r="254" spans="1:20" ht="105" customHeight="1">
      <c r="A254" s="31">
        <v>138</v>
      </c>
      <c r="B254" s="31">
        <v>466</v>
      </c>
      <c r="C254" s="31" t="s">
        <v>598</v>
      </c>
      <c r="D254" s="31">
        <v>2328</v>
      </c>
      <c r="E254" s="31" t="s">
        <v>41</v>
      </c>
      <c r="F254" s="32" t="s">
        <v>1450</v>
      </c>
      <c r="G254" s="31">
        <v>1</v>
      </c>
      <c r="H254" s="31">
        <v>0</v>
      </c>
      <c r="I254" s="32" t="s">
        <v>1442</v>
      </c>
      <c r="J254" s="32" t="s">
        <v>1451</v>
      </c>
      <c r="K254" s="32" t="s">
        <v>1449</v>
      </c>
      <c r="L254" s="32" t="s">
        <v>1445</v>
      </c>
      <c r="M254" s="31">
        <v>20</v>
      </c>
      <c r="N254" s="31">
        <v>400</v>
      </c>
      <c r="O254" s="31" t="s">
        <v>700</v>
      </c>
      <c r="P254" s="31" t="s">
        <v>701</v>
      </c>
      <c r="Q254" s="31" t="s">
        <v>701</v>
      </c>
      <c r="R254" s="31" t="s">
        <v>1821</v>
      </c>
      <c r="S254" s="31" t="s">
        <v>1821</v>
      </c>
      <c r="T254" s="53" t="s">
        <v>1820</v>
      </c>
    </row>
    <row r="255" spans="1:20" ht="105" customHeight="1">
      <c r="A255" s="31">
        <v>138</v>
      </c>
      <c r="B255" s="31">
        <v>466</v>
      </c>
      <c r="C255" s="31" t="s">
        <v>598</v>
      </c>
      <c r="D255" s="31">
        <v>2329</v>
      </c>
      <c r="E255" s="31" t="s">
        <v>41</v>
      </c>
      <c r="F255" s="32" t="s">
        <v>1452</v>
      </c>
      <c r="G255" s="31">
        <v>1</v>
      </c>
      <c r="H255" s="31">
        <v>0</v>
      </c>
      <c r="I255" s="32" t="s">
        <v>1442</v>
      </c>
      <c r="J255" s="32" t="s">
        <v>1453</v>
      </c>
      <c r="K255" s="32" t="s">
        <v>1454</v>
      </c>
      <c r="L255" s="32" t="s">
        <v>1445</v>
      </c>
      <c r="M255" s="31">
        <v>0</v>
      </c>
      <c r="N255" s="31">
        <v>400</v>
      </c>
      <c r="O255" s="31" t="s">
        <v>726</v>
      </c>
      <c r="P255" s="31" t="s">
        <v>702</v>
      </c>
      <c r="Q255" s="31" t="s">
        <v>701</v>
      </c>
      <c r="R255" s="31" t="s">
        <v>1821</v>
      </c>
      <c r="S255" s="31" t="s">
        <v>1821</v>
      </c>
      <c r="T255" s="53" t="s">
        <v>1820</v>
      </c>
    </row>
    <row r="256" spans="1:20" ht="105" customHeight="1">
      <c r="A256" s="31">
        <v>139</v>
      </c>
      <c r="B256" s="31">
        <v>468</v>
      </c>
      <c r="C256" s="31" t="s">
        <v>601</v>
      </c>
      <c r="D256" s="31">
        <v>2339</v>
      </c>
      <c r="E256" s="31" t="s">
        <v>67</v>
      </c>
      <c r="F256" s="32" t="s">
        <v>603</v>
      </c>
      <c r="G256" s="31">
        <v>1</v>
      </c>
      <c r="H256" s="31">
        <v>0</v>
      </c>
      <c r="I256" s="32" t="s">
        <v>1455</v>
      </c>
      <c r="J256" s="32" t="s">
        <v>764</v>
      </c>
      <c r="K256" s="32" t="s">
        <v>760</v>
      </c>
      <c r="L256" s="32" t="s">
        <v>1456</v>
      </c>
      <c r="M256" s="31">
        <v>3</v>
      </c>
      <c r="N256" s="31">
        <v>6</v>
      </c>
      <c r="O256" s="31" t="s">
        <v>762</v>
      </c>
      <c r="P256" s="31" t="s">
        <v>702</v>
      </c>
      <c r="Q256" s="31" t="s">
        <v>701</v>
      </c>
      <c r="R256" s="31"/>
      <c r="S256" s="31" t="s">
        <v>706</v>
      </c>
      <c r="T256" s="53" t="s">
        <v>1822</v>
      </c>
    </row>
    <row r="257" spans="1:20" ht="105" customHeight="1">
      <c r="A257" s="31">
        <v>140</v>
      </c>
      <c r="B257" s="31">
        <v>474</v>
      </c>
      <c r="C257" s="31" t="s">
        <v>604</v>
      </c>
      <c r="D257" s="31">
        <v>2369</v>
      </c>
      <c r="E257" s="31" t="s">
        <v>218</v>
      </c>
      <c r="F257" s="32" t="s">
        <v>606</v>
      </c>
      <c r="G257" s="31">
        <v>1</v>
      </c>
      <c r="H257" s="31">
        <v>0</v>
      </c>
      <c r="I257" s="32" t="s">
        <v>1457</v>
      </c>
      <c r="J257" s="32" t="s">
        <v>1458</v>
      </c>
      <c r="K257" s="32" t="s">
        <v>1459</v>
      </c>
      <c r="L257" s="32" t="s">
        <v>1460</v>
      </c>
      <c r="M257" s="31">
        <v>50</v>
      </c>
      <c r="N257" s="31">
        <v>50</v>
      </c>
      <c r="O257" s="31" t="s">
        <v>762</v>
      </c>
      <c r="P257" s="31" t="s">
        <v>701</v>
      </c>
      <c r="Q257" s="31" t="s">
        <v>701</v>
      </c>
      <c r="R257" s="31"/>
      <c r="S257" s="31" t="s">
        <v>1768</v>
      </c>
      <c r="T257" s="53" t="s">
        <v>1823</v>
      </c>
    </row>
    <row r="258" spans="1:20" ht="105" customHeight="1">
      <c r="A258" s="31">
        <v>141</v>
      </c>
      <c r="B258" s="31">
        <v>479</v>
      </c>
      <c r="C258" s="31" t="s">
        <v>607</v>
      </c>
      <c r="D258" s="31">
        <v>2392</v>
      </c>
      <c r="E258" s="31" t="s">
        <v>388</v>
      </c>
      <c r="F258" s="32" t="s">
        <v>609</v>
      </c>
      <c r="G258" s="31">
        <v>1</v>
      </c>
      <c r="H258" s="31">
        <v>0</v>
      </c>
      <c r="I258" s="32" t="s">
        <v>1461</v>
      </c>
      <c r="J258" s="32" t="s">
        <v>1462</v>
      </c>
      <c r="K258" s="32" t="s">
        <v>1463</v>
      </c>
      <c r="L258" s="32" t="s">
        <v>1464</v>
      </c>
      <c r="M258" s="31">
        <v>1</v>
      </c>
      <c r="N258" s="31">
        <v>4</v>
      </c>
      <c r="O258" s="31" t="s">
        <v>714</v>
      </c>
      <c r="P258" s="31" t="s">
        <v>701</v>
      </c>
      <c r="Q258" s="31" t="s">
        <v>701</v>
      </c>
      <c r="R258" s="31"/>
      <c r="S258" s="31" t="s">
        <v>1768</v>
      </c>
      <c r="T258" s="53" t="s">
        <v>1824</v>
      </c>
    </row>
    <row r="259" spans="1:20" ht="105" customHeight="1">
      <c r="A259" s="31">
        <v>142</v>
      </c>
      <c r="B259" s="31">
        <v>480</v>
      </c>
      <c r="C259" s="31" t="s">
        <v>610</v>
      </c>
      <c r="D259" s="31">
        <v>2399</v>
      </c>
      <c r="E259" s="31" t="s">
        <v>273</v>
      </c>
      <c r="F259" s="32" t="s">
        <v>612</v>
      </c>
      <c r="G259" s="31">
        <v>1</v>
      </c>
      <c r="H259" s="31">
        <v>0</v>
      </c>
      <c r="I259" s="32" t="s">
        <v>1465</v>
      </c>
      <c r="J259" s="32" t="s">
        <v>1466</v>
      </c>
      <c r="K259" s="32" t="s">
        <v>1467</v>
      </c>
      <c r="L259" s="32" t="s">
        <v>1468</v>
      </c>
      <c r="M259" s="31">
        <v>10</v>
      </c>
      <c r="N259" s="31">
        <v>7</v>
      </c>
      <c r="O259" s="31" t="s">
        <v>714</v>
      </c>
      <c r="P259" s="31" t="s">
        <v>702</v>
      </c>
      <c r="Q259" s="31" t="s">
        <v>701</v>
      </c>
      <c r="R259" s="31"/>
      <c r="S259" s="31" t="s">
        <v>706</v>
      </c>
      <c r="T259" s="53" t="s">
        <v>1825</v>
      </c>
    </row>
    <row r="260" spans="1:20" ht="105" customHeight="1">
      <c r="A260" s="31">
        <v>143</v>
      </c>
      <c r="B260" s="31">
        <v>483</v>
      </c>
      <c r="C260" s="31" t="s">
        <v>613</v>
      </c>
      <c r="D260" s="31">
        <v>2412</v>
      </c>
      <c r="E260" s="31" t="s">
        <v>360</v>
      </c>
      <c r="F260" s="32" t="s">
        <v>615</v>
      </c>
      <c r="G260" s="31">
        <v>1</v>
      </c>
      <c r="H260" s="31">
        <v>0</v>
      </c>
      <c r="I260" s="32" t="s">
        <v>1469</v>
      </c>
      <c r="J260" s="32" t="s">
        <v>1470</v>
      </c>
      <c r="K260" s="32" t="s">
        <v>1471</v>
      </c>
      <c r="L260" s="32" t="s">
        <v>1472</v>
      </c>
      <c r="M260" s="31">
        <v>2</v>
      </c>
      <c r="N260" s="31">
        <v>2</v>
      </c>
      <c r="O260" s="31" t="s">
        <v>769</v>
      </c>
      <c r="P260" s="31" t="s">
        <v>702</v>
      </c>
      <c r="Q260" s="31" t="s">
        <v>701</v>
      </c>
      <c r="R260" s="31"/>
      <c r="S260" s="31" t="s">
        <v>706</v>
      </c>
      <c r="T260" s="53" t="s">
        <v>1826</v>
      </c>
    </row>
    <row r="261" spans="1:20" ht="105" customHeight="1">
      <c r="A261" s="31">
        <v>143</v>
      </c>
      <c r="B261" s="31">
        <v>483</v>
      </c>
      <c r="C261" s="31" t="s">
        <v>613</v>
      </c>
      <c r="D261" s="31">
        <v>2413</v>
      </c>
      <c r="E261" s="31" t="s">
        <v>360</v>
      </c>
      <c r="F261" s="32" t="s">
        <v>1473</v>
      </c>
      <c r="G261" s="31">
        <v>1</v>
      </c>
      <c r="H261" s="31">
        <v>0</v>
      </c>
      <c r="I261" s="32" t="s">
        <v>1469</v>
      </c>
      <c r="J261" s="32" t="s">
        <v>1474</v>
      </c>
      <c r="K261" s="32" t="s">
        <v>1471</v>
      </c>
      <c r="L261" s="32" t="s">
        <v>1472</v>
      </c>
      <c r="M261" s="31">
        <v>2</v>
      </c>
      <c r="N261" s="31">
        <v>2</v>
      </c>
      <c r="O261" s="31" t="s">
        <v>769</v>
      </c>
      <c r="P261" s="31" t="s">
        <v>702</v>
      </c>
      <c r="Q261" s="31" t="s">
        <v>701</v>
      </c>
      <c r="R261" s="31"/>
      <c r="S261" s="31" t="s">
        <v>706</v>
      </c>
      <c r="T261" s="53" t="s">
        <v>1826</v>
      </c>
    </row>
    <row r="262" spans="1:20" ht="105" customHeight="1">
      <c r="A262" s="31">
        <v>143</v>
      </c>
      <c r="B262" s="31">
        <v>483</v>
      </c>
      <c r="C262" s="31" t="s">
        <v>613</v>
      </c>
      <c r="D262" s="31">
        <v>2414</v>
      </c>
      <c r="E262" s="31" t="s">
        <v>360</v>
      </c>
      <c r="F262" s="32" t="s">
        <v>1475</v>
      </c>
      <c r="G262" s="31">
        <v>1</v>
      </c>
      <c r="H262" s="31">
        <v>0</v>
      </c>
      <c r="I262" s="32" t="s">
        <v>1469</v>
      </c>
      <c r="J262" s="32" t="s">
        <v>1476</v>
      </c>
      <c r="K262" s="32" t="s">
        <v>1471</v>
      </c>
      <c r="L262" s="32" t="s">
        <v>1472</v>
      </c>
      <c r="M262" s="31">
        <v>2</v>
      </c>
      <c r="N262" s="31">
        <v>2</v>
      </c>
      <c r="O262" s="31" t="s">
        <v>769</v>
      </c>
      <c r="P262" s="31" t="s">
        <v>702</v>
      </c>
      <c r="Q262" s="31" t="s">
        <v>701</v>
      </c>
      <c r="R262" s="31"/>
      <c r="S262" s="31" t="s">
        <v>706</v>
      </c>
      <c r="T262" s="53" t="s">
        <v>1826</v>
      </c>
    </row>
    <row r="263" spans="1:20" ht="105" customHeight="1">
      <c r="A263" s="31">
        <v>144</v>
      </c>
      <c r="B263" s="31">
        <v>491</v>
      </c>
      <c r="C263" s="31" t="s">
        <v>616</v>
      </c>
      <c r="D263" s="31">
        <v>2454</v>
      </c>
      <c r="E263" s="31" t="s">
        <v>54</v>
      </c>
      <c r="F263" s="32" t="s">
        <v>618</v>
      </c>
      <c r="G263" s="31">
        <v>1</v>
      </c>
      <c r="H263" s="31">
        <v>0</v>
      </c>
      <c r="I263" s="32" t="s">
        <v>1477</v>
      </c>
      <c r="J263" s="32" t="s">
        <v>1478</v>
      </c>
      <c r="K263" s="32" t="s">
        <v>1479</v>
      </c>
      <c r="L263" s="32" t="s">
        <v>1480</v>
      </c>
      <c r="M263" s="31">
        <v>1</v>
      </c>
      <c r="N263" s="31">
        <v>1</v>
      </c>
      <c r="O263" s="31" t="s">
        <v>762</v>
      </c>
      <c r="P263" s="31" t="s">
        <v>701</v>
      </c>
      <c r="Q263" s="31" t="s">
        <v>701</v>
      </c>
      <c r="R263" s="31"/>
      <c r="S263" s="31" t="s">
        <v>1720</v>
      </c>
      <c r="T263" s="53" t="s">
        <v>1827</v>
      </c>
    </row>
    <row r="264" spans="1:20" ht="105" customHeight="1">
      <c r="A264" s="31">
        <v>145</v>
      </c>
      <c r="B264" s="31">
        <v>493</v>
      </c>
      <c r="C264" s="31" t="s">
        <v>619</v>
      </c>
      <c r="D264" s="31">
        <v>2461</v>
      </c>
      <c r="E264" s="31" t="s">
        <v>88</v>
      </c>
      <c r="F264" s="32" t="s">
        <v>621</v>
      </c>
      <c r="G264" s="31">
        <v>1</v>
      </c>
      <c r="H264" s="31">
        <v>0</v>
      </c>
      <c r="I264" s="32" t="s">
        <v>1481</v>
      </c>
      <c r="J264" s="32" t="s">
        <v>1482</v>
      </c>
      <c r="K264" s="32" t="s">
        <v>1483</v>
      </c>
      <c r="L264" s="32" t="s">
        <v>1484</v>
      </c>
      <c r="M264" s="31">
        <v>4</v>
      </c>
      <c r="N264" s="31">
        <v>5</v>
      </c>
      <c r="O264" s="31" t="s">
        <v>796</v>
      </c>
      <c r="P264" s="31" t="s">
        <v>701</v>
      </c>
      <c r="Q264" s="31" t="s">
        <v>701</v>
      </c>
      <c r="R264" s="31"/>
      <c r="S264" s="31" t="s">
        <v>1821</v>
      </c>
      <c r="T264" s="53" t="s">
        <v>1828</v>
      </c>
    </row>
    <row r="265" spans="1:20" ht="105" customHeight="1">
      <c r="A265" s="31">
        <v>145</v>
      </c>
      <c r="B265" s="31">
        <v>493</v>
      </c>
      <c r="C265" s="31" t="s">
        <v>619</v>
      </c>
      <c r="D265" s="31">
        <v>2462</v>
      </c>
      <c r="E265" s="31" t="s">
        <v>88</v>
      </c>
      <c r="F265" s="32" t="s">
        <v>1485</v>
      </c>
      <c r="G265" s="31">
        <v>1</v>
      </c>
      <c r="H265" s="31">
        <v>0</v>
      </c>
      <c r="I265" s="32" t="s">
        <v>1481</v>
      </c>
      <c r="J265" s="32" t="s">
        <v>1486</v>
      </c>
      <c r="K265" s="32" t="s">
        <v>1487</v>
      </c>
      <c r="L265" s="32" t="s">
        <v>1484</v>
      </c>
      <c r="M265" s="31">
        <v>3</v>
      </c>
      <c r="N265" s="31">
        <v>5</v>
      </c>
      <c r="O265" s="31" t="s">
        <v>796</v>
      </c>
      <c r="P265" s="31" t="s">
        <v>702</v>
      </c>
      <c r="Q265" s="31" t="s">
        <v>701</v>
      </c>
      <c r="R265" s="31"/>
      <c r="S265" s="31" t="s">
        <v>706</v>
      </c>
      <c r="T265" s="53" t="s">
        <v>1828</v>
      </c>
    </row>
    <row r="266" spans="1:20" ht="105" customHeight="1">
      <c r="A266" s="31">
        <v>146</v>
      </c>
      <c r="B266" s="31">
        <v>495</v>
      </c>
      <c r="C266" s="31" t="s">
        <v>95</v>
      </c>
      <c r="D266" s="31">
        <v>2470</v>
      </c>
      <c r="E266" s="31" t="s">
        <v>96</v>
      </c>
      <c r="F266" s="32" t="s">
        <v>165</v>
      </c>
      <c r="G266" s="31">
        <v>0</v>
      </c>
      <c r="H266" s="31">
        <v>0</v>
      </c>
      <c r="I266" s="32" t="s">
        <v>166</v>
      </c>
      <c r="J266" s="32" t="s">
        <v>1488</v>
      </c>
      <c r="K266" s="32" t="s">
        <v>1489</v>
      </c>
      <c r="L266" s="32" t="s">
        <v>167</v>
      </c>
      <c r="M266" s="31">
        <v>0</v>
      </c>
      <c r="N266" s="31">
        <v>1</v>
      </c>
      <c r="O266" s="31" t="s">
        <v>726</v>
      </c>
      <c r="P266" s="31" t="s">
        <v>701</v>
      </c>
      <c r="Q266" s="31" t="s">
        <v>701</v>
      </c>
      <c r="R266" s="31" t="s">
        <v>27</v>
      </c>
      <c r="S266" s="31" t="s">
        <v>1794</v>
      </c>
      <c r="T266" s="53" t="s">
        <v>1829</v>
      </c>
    </row>
    <row r="267" spans="1:20" ht="105" customHeight="1">
      <c r="A267" s="31">
        <v>146</v>
      </c>
      <c r="B267" s="31">
        <v>495</v>
      </c>
      <c r="C267" s="31" t="s">
        <v>95</v>
      </c>
      <c r="D267" s="31">
        <v>2471</v>
      </c>
      <c r="E267" s="31" t="s">
        <v>96</v>
      </c>
      <c r="F267" s="32" t="s">
        <v>1490</v>
      </c>
      <c r="G267" s="31">
        <v>0</v>
      </c>
      <c r="H267" s="31">
        <v>0</v>
      </c>
      <c r="I267" s="32" t="s">
        <v>166</v>
      </c>
      <c r="J267" s="32" t="s">
        <v>1491</v>
      </c>
      <c r="K267" s="32" t="s">
        <v>1492</v>
      </c>
      <c r="L267" s="32" t="s">
        <v>167</v>
      </c>
      <c r="M267" s="31">
        <v>0</v>
      </c>
      <c r="N267" s="31">
        <v>1</v>
      </c>
      <c r="O267" s="31" t="s">
        <v>726</v>
      </c>
      <c r="P267" s="31" t="s">
        <v>701</v>
      </c>
      <c r="Q267" s="31" t="s">
        <v>701</v>
      </c>
      <c r="R267" s="31" t="s">
        <v>27</v>
      </c>
      <c r="S267" s="31" t="s">
        <v>1794</v>
      </c>
      <c r="T267" s="53" t="s">
        <v>1829</v>
      </c>
    </row>
    <row r="268" spans="1:20" ht="105" customHeight="1">
      <c r="A268" s="31">
        <v>146</v>
      </c>
      <c r="B268" s="31">
        <v>495</v>
      </c>
      <c r="C268" s="31" t="s">
        <v>95</v>
      </c>
      <c r="D268" s="31">
        <v>2472</v>
      </c>
      <c r="E268" s="31" t="s">
        <v>96</v>
      </c>
      <c r="F268" s="32" t="s">
        <v>1493</v>
      </c>
      <c r="G268" s="31">
        <v>0</v>
      </c>
      <c r="H268" s="31">
        <v>0</v>
      </c>
      <c r="I268" s="32" t="s">
        <v>166</v>
      </c>
      <c r="J268" s="32" t="s">
        <v>1494</v>
      </c>
      <c r="K268" s="32" t="s">
        <v>1495</v>
      </c>
      <c r="L268" s="32" t="s">
        <v>167</v>
      </c>
      <c r="M268" s="31">
        <v>0</v>
      </c>
      <c r="N268" s="31">
        <v>1</v>
      </c>
      <c r="O268" s="31" t="s">
        <v>726</v>
      </c>
      <c r="P268" s="31" t="s">
        <v>701</v>
      </c>
      <c r="Q268" s="31" t="s">
        <v>701</v>
      </c>
      <c r="R268" s="31" t="s">
        <v>27</v>
      </c>
      <c r="S268" s="31" t="s">
        <v>1794</v>
      </c>
      <c r="T268" s="53" t="s">
        <v>1829</v>
      </c>
    </row>
    <row r="269" spans="1:20" ht="105" customHeight="1">
      <c r="A269" s="31">
        <v>146</v>
      </c>
      <c r="B269" s="31">
        <v>495</v>
      </c>
      <c r="C269" s="31" t="s">
        <v>95</v>
      </c>
      <c r="D269" s="31">
        <v>2473</v>
      </c>
      <c r="E269" s="31" t="s">
        <v>96</v>
      </c>
      <c r="F269" s="32" t="s">
        <v>1496</v>
      </c>
      <c r="G269" s="31">
        <v>0</v>
      </c>
      <c r="H269" s="31">
        <v>0</v>
      </c>
      <c r="I269" s="32" t="s">
        <v>166</v>
      </c>
      <c r="J269" s="32" t="s">
        <v>1497</v>
      </c>
      <c r="K269" s="32" t="s">
        <v>1498</v>
      </c>
      <c r="L269" s="32" t="s">
        <v>167</v>
      </c>
      <c r="M269" s="31">
        <v>0</v>
      </c>
      <c r="N269" s="31">
        <v>1</v>
      </c>
      <c r="O269" s="31" t="s">
        <v>726</v>
      </c>
      <c r="P269" s="31" t="s">
        <v>701</v>
      </c>
      <c r="Q269" s="31" t="s">
        <v>701</v>
      </c>
      <c r="R269" s="31" t="s">
        <v>27</v>
      </c>
      <c r="S269" s="31" t="s">
        <v>1794</v>
      </c>
      <c r="T269" s="53" t="s">
        <v>1829</v>
      </c>
    </row>
    <row r="270" spans="1:20" ht="105" customHeight="1">
      <c r="A270" s="31">
        <v>146</v>
      </c>
      <c r="B270" s="31">
        <v>495</v>
      </c>
      <c r="C270" s="31" t="s">
        <v>95</v>
      </c>
      <c r="D270" s="31">
        <v>2474</v>
      </c>
      <c r="E270" s="31" t="s">
        <v>96</v>
      </c>
      <c r="F270" s="32" t="s">
        <v>1499</v>
      </c>
      <c r="G270" s="31">
        <v>0</v>
      </c>
      <c r="H270" s="31">
        <v>0</v>
      </c>
      <c r="I270" s="32" t="s">
        <v>166</v>
      </c>
      <c r="J270" s="32" t="s">
        <v>1500</v>
      </c>
      <c r="K270" s="32" t="s">
        <v>1501</v>
      </c>
      <c r="L270" s="32" t="s">
        <v>167</v>
      </c>
      <c r="M270" s="31">
        <v>0</v>
      </c>
      <c r="N270" s="31">
        <v>1</v>
      </c>
      <c r="O270" s="31" t="s">
        <v>726</v>
      </c>
      <c r="P270" s="31" t="s">
        <v>701</v>
      </c>
      <c r="Q270" s="31" t="s">
        <v>701</v>
      </c>
      <c r="R270" s="31" t="s">
        <v>27</v>
      </c>
      <c r="S270" s="31" t="s">
        <v>1794</v>
      </c>
      <c r="T270" s="53" t="s">
        <v>1829</v>
      </c>
    </row>
    <row r="271" spans="1:20" ht="105" customHeight="1">
      <c r="A271" s="31">
        <v>147</v>
      </c>
      <c r="B271" s="31">
        <v>500</v>
      </c>
      <c r="C271" s="31" t="s">
        <v>623</v>
      </c>
      <c r="D271" s="31">
        <v>2497</v>
      </c>
      <c r="E271" s="31" t="s">
        <v>88</v>
      </c>
      <c r="F271" s="32" t="s">
        <v>625</v>
      </c>
      <c r="G271" s="31">
        <v>1</v>
      </c>
      <c r="H271" s="31">
        <v>0</v>
      </c>
      <c r="I271" s="32" t="s">
        <v>1502</v>
      </c>
      <c r="J271" s="32" t="s">
        <v>1503</v>
      </c>
      <c r="K271" s="32" t="s">
        <v>1504</v>
      </c>
      <c r="L271" s="32" t="s">
        <v>1505</v>
      </c>
      <c r="M271" s="31">
        <v>4</v>
      </c>
      <c r="N271" s="31">
        <v>4</v>
      </c>
      <c r="O271" s="31" t="s">
        <v>769</v>
      </c>
      <c r="P271" s="31" t="s">
        <v>702</v>
      </c>
      <c r="Q271" s="31" t="s">
        <v>701</v>
      </c>
      <c r="R271" s="31"/>
      <c r="S271" s="31" t="s">
        <v>706</v>
      </c>
      <c r="T271" s="53" t="s">
        <v>1830</v>
      </c>
    </row>
    <row r="272" spans="1:20" ht="105" customHeight="1">
      <c r="A272" s="31">
        <v>148</v>
      </c>
      <c r="B272" s="31">
        <v>501</v>
      </c>
      <c r="C272" s="31" t="s">
        <v>626</v>
      </c>
      <c r="D272" s="31">
        <v>2500</v>
      </c>
      <c r="E272" s="31" t="s">
        <v>222</v>
      </c>
      <c r="F272" s="32" t="s">
        <v>628</v>
      </c>
      <c r="G272" s="31">
        <v>1</v>
      </c>
      <c r="H272" s="31">
        <v>0</v>
      </c>
      <c r="I272" s="32" t="s">
        <v>1506</v>
      </c>
      <c r="J272" s="32" t="s">
        <v>1507</v>
      </c>
      <c r="K272" s="32" t="s">
        <v>1508</v>
      </c>
      <c r="L272" s="32" t="s">
        <v>1509</v>
      </c>
      <c r="M272" s="31">
        <v>10</v>
      </c>
      <c r="N272" s="31">
        <v>10</v>
      </c>
      <c r="O272" s="31" t="s">
        <v>762</v>
      </c>
      <c r="P272" s="31" t="s">
        <v>702</v>
      </c>
      <c r="Q272" s="31" t="s">
        <v>701</v>
      </c>
      <c r="R272" s="31" t="s">
        <v>1794</v>
      </c>
      <c r="S272" s="31" t="s">
        <v>706</v>
      </c>
      <c r="T272" s="53" t="s">
        <v>1831</v>
      </c>
    </row>
    <row r="273" spans="1:20" ht="105" customHeight="1">
      <c r="A273" s="31">
        <v>148</v>
      </c>
      <c r="B273" s="31">
        <v>501</v>
      </c>
      <c r="C273" s="31" t="s">
        <v>626</v>
      </c>
      <c r="D273" s="31">
        <v>2502</v>
      </c>
      <c r="E273" s="31" t="s">
        <v>222</v>
      </c>
      <c r="F273" s="32" t="s">
        <v>1510</v>
      </c>
      <c r="G273" s="31">
        <v>1</v>
      </c>
      <c r="H273" s="31">
        <v>0</v>
      </c>
      <c r="I273" s="32" t="s">
        <v>1506</v>
      </c>
      <c r="J273" s="32" t="s">
        <v>1511</v>
      </c>
      <c r="K273" s="32" t="s">
        <v>1512</v>
      </c>
      <c r="L273" s="32" t="s">
        <v>1509</v>
      </c>
      <c r="M273" s="31">
        <v>10</v>
      </c>
      <c r="N273" s="31">
        <v>10</v>
      </c>
      <c r="O273" s="31" t="s">
        <v>721</v>
      </c>
      <c r="P273" s="31" t="s">
        <v>701</v>
      </c>
      <c r="Q273" s="31" t="s">
        <v>701</v>
      </c>
      <c r="R273" s="31" t="s">
        <v>1794</v>
      </c>
      <c r="S273" s="31" t="s">
        <v>1794</v>
      </c>
      <c r="T273" s="53" t="s">
        <v>1831</v>
      </c>
    </row>
    <row r="274" spans="1:20" ht="105" customHeight="1">
      <c r="A274" s="31">
        <v>148</v>
      </c>
      <c r="B274" s="31">
        <v>501</v>
      </c>
      <c r="C274" s="31" t="s">
        <v>626</v>
      </c>
      <c r="D274" s="31">
        <v>2503</v>
      </c>
      <c r="E274" s="31" t="s">
        <v>222</v>
      </c>
      <c r="F274" s="32" t="s">
        <v>1513</v>
      </c>
      <c r="G274" s="31">
        <v>1</v>
      </c>
      <c r="H274" s="31">
        <v>0</v>
      </c>
      <c r="I274" s="32" t="s">
        <v>1506</v>
      </c>
      <c r="J274" s="32" t="s">
        <v>1514</v>
      </c>
      <c r="K274" s="32" t="s">
        <v>1508</v>
      </c>
      <c r="L274" s="32" t="s">
        <v>1509</v>
      </c>
      <c r="M274" s="31">
        <v>10</v>
      </c>
      <c r="N274" s="31">
        <v>10</v>
      </c>
      <c r="O274" s="31" t="s">
        <v>762</v>
      </c>
      <c r="P274" s="31" t="s">
        <v>702</v>
      </c>
      <c r="Q274" s="31" t="s">
        <v>701</v>
      </c>
      <c r="R274" s="31" t="s">
        <v>1794</v>
      </c>
      <c r="S274" s="31" t="s">
        <v>706</v>
      </c>
      <c r="T274" s="53" t="s">
        <v>1831</v>
      </c>
    </row>
    <row r="275" spans="1:20" ht="105" customHeight="1">
      <c r="A275" s="31">
        <v>149</v>
      </c>
      <c r="B275" s="31">
        <v>504</v>
      </c>
      <c r="C275" s="31" t="s">
        <v>98</v>
      </c>
      <c r="D275" s="31">
        <v>2515</v>
      </c>
      <c r="E275" s="31" t="s">
        <v>46</v>
      </c>
      <c r="F275" s="32" t="s">
        <v>168</v>
      </c>
      <c r="G275" s="31">
        <v>0</v>
      </c>
      <c r="H275" s="31">
        <v>0</v>
      </c>
      <c r="I275" s="32" t="s">
        <v>169</v>
      </c>
      <c r="J275" s="32" t="s">
        <v>1515</v>
      </c>
      <c r="K275" s="32" t="s">
        <v>1516</v>
      </c>
      <c r="L275" s="32" t="s">
        <v>170</v>
      </c>
      <c r="M275" s="31">
        <v>239</v>
      </c>
      <c r="N275" s="31">
        <v>163</v>
      </c>
      <c r="O275" s="31" t="s">
        <v>714</v>
      </c>
      <c r="P275" s="31" t="s">
        <v>702</v>
      </c>
      <c r="Q275" s="31" t="s">
        <v>701</v>
      </c>
      <c r="R275" s="31" t="s">
        <v>28</v>
      </c>
      <c r="S275" s="31" t="s">
        <v>28</v>
      </c>
      <c r="T275" s="53" t="s">
        <v>1832</v>
      </c>
    </row>
    <row r="276" spans="1:20" ht="105" customHeight="1">
      <c r="A276" s="31">
        <v>149</v>
      </c>
      <c r="B276" s="31">
        <v>504</v>
      </c>
      <c r="C276" s="31" t="s">
        <v>98</v>
      </c>
      <c r="D276" s="31">
        <v>2516</v>
      </c>
      <c r="E276" s="31" t="s">
        <v>46</v>
      </c>
      <c r="F276" s="32" t="s">
        <v>1517</v>
      </c>
      <c r="G276" s="31">
        <v>0</v>
      </c>
      <c r="H276" s="31">
        <v>0</v>
      </c>
      <c r="I276" s="32" t="s">
        <v>169</v>
      </c>
      <c r="J276" s="32" t="s">
        <v>1518</v>
      </c>
      <c r="K276" s="32" t="s">
        <v>1516</v>
      </c>
      <c r="L276" s="32" t="s">
        <v>170</v>
      </c>
      <c r="M276" s="31">
        <v>239</v>
      </c>
      <c r="N276" s="31">
        <v>163</v>
      </c>
      <c r="O276" s="31" t="s">
        <v>714</v>
      </c>
      <c r="P276" s="31" t="s">
        <v>701</v>
      </c>
      <c r="Q276" s="31" t="s">
        <v>701</v>
      </c>
      <c r="R276" s="31" t="s">
        <v>28</v>
      </c>
      <c r="S276" s="31" t="s">
        <v>28</v>
      </c>
      <c r="T276" s="53" t="s">
        <v>1832</v>
      </c>
    </row>
    <row r="277" spans="1:20" ht="105" customHeight="1">
      <c r="A277" s="31">
        <v>149</v>
      </c>
      <c r="B277" s="31">
        <v>504</v>
      </c>
      <c r="C277" s="31" t="s">
        <v>98</v>
      </c>
      <c r="D277" s="31">
        <v>2518</v>
      </c>
      <c r="E277" s="31" t="s">
        <v>46</v>
      </c>
      <c r="F277" s="32" t="s">
        <v>1519</v>
      </c>
      <c r="G277" s="31">
        <v>0</v>
      </c>
      <c r="H277" s="31">
        <v>0</v>
      </c>
      <c r="I277" s="32" t="s">
        <v>169</v>
      </c>
      <c r="J277" s="32" t="s">
        <v>1518</v>
      </c>
      <c r="K277" s="32" t="s">
        <v>1516</v>
      </c>
      <c r="L277" s="32" t="s">
        <v>170</v>
      </c>
      <c r="M277" s="31">
        <v>239</v>
      </c>
      <c r="N277" s="31">
        <v>163</v>
      </c>
      <c r="O277" s="31" t="s">
        <v>714</v>
      </c>
      <c r="P277" s="31" t="s">
        <v>701</v>
      </c>
      <c r="Q277" s="31" t="s">
        <v>701</v>
      </c>
      <c r="R277" s="31" t="s">
        <v>28</v>
      </c>
      <c r="S277" s="31" t="s">
        <v>28</v>
      </c>
      <c r="T277" s="53" t="s">
        <v>1832</v>
      </c>
    </row>
    <row r="278" spans="1:20" ht="105" customHeight="1">
      <c r="A278" s="31">
        <v>150</v>
      </c>
      <c r="B278" s="31">
        <v>505</v>
      </c>
      <c r="C278" s="31" t="s">
        <v>630</v>
      </c>
      <c r="D278" s="31">
        <v>2524</v>
      </c>
      <c r="E278" s="31" t="s">
        <v>218</v>
      </c>
      <c r="F278" s="32" t="s">
        <v>632</v>
      </c>
      <c r="G278" s="31">
        <v>1</v>
      </c>
      <c r="H278" s="31">
        <v>0</v>
      </c>
      <c r="I278" s="32" t="s">
        <v>1520</v>
      </c>
      <c r="J278" s="32" t="s">
        <v>1521</v>
      </c>
      <c r="K278" s="32" t="s">
        <v>1522</v>
      </c>
      <c r="L278" s="32" t="s">
        <v>1523</v>
      </c>
      <c r="M278" s="31">
        <v>4</v>
      </c>
      <c r="N278" s="31">
        <v>4</v>
      </c>
      <c r="O278" s="31" t="s">
        <v>762</v>
      </c>
      <c r="P278" s="31" t="s">
        <v>701</v>
      </c>
      <c r="Q278" s="31" t="s">
        <v>701</v>
      </c>
      <c r="R278" s="31"/>
      <c r="S278" s="31" t="s">
        <v>1834</v>
      </c>
      <c r="T278" s="53" t="s">
        <v>1833</v>
      </c>
    </row>
    <row r="279" spans="1:20" ht="105" customHeight="1">
      <c r="A279" s="31">
        <v>151</v>
      </c>
      <c r="B279" s="31">
        <v>508</v>
      </c>
      <c r="C279" s="31" t="s">
        <v>633</v>
      </c>
      <c r="D279" s="31">
        <v>2535</v>
      </c>
      <c r="E279" s="31" t="s">
        <v>88</v>
      </c>
      <c r="F279" s="32" t="s">
        <v>635</v>
      </c>
      <c r="G279" s="31">
        <v>1</v>
      </c>
      <c r="H279" s="31">
        <v>0</v>
      </c>
      <c r="I279" s="32" t="s">
        <v>1524</v>
      </c>
      <c r="J279" s="32" t="s">
        <v>1525</v>
      </c>
      <c r="K279" s="32" t="s">
        <v>1526</v>
      </c>
      <c r="L279" s="32" t="s">
        <v>1527</v>
      </c>
      <c r="M279" s="31">
        <v>1</v>
      </c>
      <c r="N279" s="31">
        <v>1</v>
      </c>
      <c r="O279" s="31" t="s">
        <v>714</v>
      </c>
      <c r="P279" s="31" t="s">
        <v>702</v>
      </c>
      <c r="Q279" s="31" t="s">
        <v>701</v>
      </c>
      <c r="R279" s="31"/>
      <c r="S279" s="31" t="s">
        <v>706</v>
      </c>
      <c r="T279" s="53" t="s">
        <v>1835</v>
      </c>
    </row>
    <row r="280" spans="1:20" ht="105" customHeight="1">
      <c r="A280" s="31">
        <v>151</v>
      </c>
      <c r="B280" s="31">
        <v>508</v>
      </c>
      <c r="C280" s="31" t="s">
        <v>633</v>
      </c>
      <c r="D280" s="31">
        <v>2537</v>
      </c>
      <c r="E280" s="31" t="s">
        <v>88</v>
      </c>
      <c r="F280" s="32" t="s">
        <v>1528</v>
      </c>
      <c r="G280" s="31">
        <v>1</v>
      </c>
      <c r="H280" s="31">
        <v>0</v>
      </c>
      <c r="I280" s="32" t="s">
        <v>1524</v>
      </c>
      <c r="J280" s="32" t="s">
        <v>1529</v>
      </c>
      <c r="K280" s="32" t="s">
        <v>1530</v>
      </c>
      <c r="L280" s="32" t="s">
        <v>1527</v>
      </c>
      <c r="M280" s="31">
        <v>1</v>
      </c>
      <c r="N280" s="31">
        <v>1</v>
      </c>
      <c r="O280" s="31" t="s">
        <v>700</v>
      </c>
      <c r="P280" s="31" t="s">
        <v>702</v>
      </c>
      <c r="Q280" s="31" t="s">
        <v>701</v>
      </c>
      <c r="R280" s="31"/>
      <c r="S280" s="31" t="s">
        <v>706</v>
      </c>
      <c r="T280" s="53" t="s">
        <v>1835</v>
      </c>
    </row>
    <row r="281" spans="1:20" ht="105" customHeight="1">
      <c r="A281" s="31">
        <v>152</v>
      </c>
      <c r="B281" s="31">
        <v>509</v>
      </c>
      <c r="C281" s="31" t="s">
        <v>636</v>
      </c>
      <c r="D281" s="31">
        <v>2542</v>
      </c>
      <c r="E281" s="31" t="s">
        <v>41</v>
      </c>
      <c r="F281" s="32" t="s">
        <v>638</v>
      </c>
      <c r="G281" s="31">
        <v>1</v>
      </c>
      <c r="H281" s="31">
        <v>0</v>
      </c>
      <c r="I281" s="32" t="s">
        <v>1531</v>
      </c>
      <c r="J281" s="32" t="s">
        <v>1532</v>
      </c>
      <c r="K281" s="32" t="s">
        <v>1533</v>
      </c>
      <c r="L281" s="32" t="s">
        <v>1534</v>
      </c>
      <c r="M281" s="31">
        <v>1</v>
      </c>
      <c r="N281" s="31">
        <v>1</v>
      </c>
      <c r="O281" s="31" t="s">
        <v>762</v>
      </c>
      <c r="P281" s="31" t="s">
        <v>701</v>
      </c>
      <c r="Q281" s="31" t="s">
        <v>701</v>
      </c>
      <c r="R281" s="31"/>
      <c r="S281" s="31" t="s">
        <v>1834</v>
      </c>
      <c r="T281" s="53" t="s">
        <v>1836</v>
      </c>
    </row>
    <row r="282" spans="1:20" ht="105" customHeight="1">
      <c r="A282" s="31">
        <v>152</v>
      </c>
      <c r="B282" s="31">
        <v>509</v>
      </c>
      <c r="C282" s="31" t="s">
        <v>636</v>
      </c>
      <c r="D282" s="31">
        <v>2544</v>
      </c>
      <c r="E282" s="31" t="s">
        <v>41</v>
      </c>
      <c r="F282" s="32" t="s">
        <v>1535</v>
      </c>
      <c r="G282" s="31">
        <v>1</v>
      </c>
      <c r="H282" s="31">
        <v>0</v>
      </c>
      <c r="I282" s="32" t="s">
        <v>1531</v>
      </c>
      <c r="J282" s="32" t="s">
        <v>1536</v>
      </c>
      <c r="K282" s="32" t="s">
        <v>1537</v>
      </c>
      <c r="L282" s="32" t="s">
        <v>1534</v>
      </c>
      <c r="M282" s="31">
        <v>1</v>
      </c>
      <c r="N282" s="31">
        <v>1</v>
      </c>
      <c r="O282" s="31" t="s">
        <v>700</v>
      </c>
      <c r="P282" s="31" t="s">
        <v>702</v>
      </c>
      <c r="Q282" s="31" t="s">
        <v>701</v>
      </c>
      <c r="R282" s="31"/>
      <c r="S282" s="31" t="s">
        <v>706</v>
      </c>
      <c r="T282" s="53" t="s">
        <v>1836</v>
      </c>
    </row>
    <row r="283" spans="1:20" ht="105" customHeight="1">
      <c r="A283" s="31">
        <v>153</v>
      </c>
      <c r="B283" s="31">
        <v>512</v>
      </c>
      <c r="C283" s="31" t="s">
        <v>101</v>
      </c>
      <c r="D283" s="31">
        <v>2555</v>
      </c>
      <c r="E283" s="31" t="s">
        <v>67</v>
      </c>
      <c r="F283" s="32" t="s">
        <v>171</v>
      </c>
      <c r="G283" s="31">
        <v>0</v>
      </c>
      <c r="H283" s="31">
        <v>0</v>
      </c>
      <c r="I283" s="32" t="s">
        <v>172</v>
      </c>
      <c r="J283" s="32" t="s">
        <v>1538</v>
      </c>
      <c r="K283" s="32" t="s">
        <v>1539</v>
      </c>
      <c r="L283" s="32" t="s">
        <v>173</v>
      </c>
      <c r="M283" s="31">
        <v>2</v>
      </c>
      <c r="N283" s="31">
        <v>1</v>
      </c>
      <c r="O283" s="31" t="s">
        <v>700</v>
      </c>
      <c r="P283" s="31" t="s">
        <v>701</v>
      </c>
      <c r="Q283" s="31" t="s">
        <v>701</v>
      </c>
      <c r="R283" s="31" t="s">
        <v>26</v>
      </c>
      <c r="S283" s="31" t="s">
        <v>1794</v>
      </c>
      <c r="T283" s="53" t="s">
        <v>1837</v>
      </c>
    </row>
    <row r="284" spans="1:20" ht="105" customHeight="1">
      <c r="A284" s="31">
        <v>153</v>
      </c>
      <c r="B284" s="31">
        <v>512</v>
      </c>
      <c r="C284" s="31" t="s">
        <v>101</v>
      </c>
      <c r="D284" s="31">
        <v>2556</v>
      </c>
      <c r="E284" s="31" t="s">
        <v>67</v>
      </c>
      <c r="F284" s="32" t="s">
        <v>1540</v>
      </c>
      <c r="G284" s="31">
        <v>0</v>
      </c>
      <c r="H284" s="31">
        <v>0</v>
      </c>
      <c r="I284" s="32" t="s">
        <v>172</v>
      </c>
      <c r="J284" s="32" t="s">
        <v>1538</v>
      </c>
      <c r="K284" s="32" t="s">
        <v>1539</v>
      </c>
      <c r="L284" s="32" t="s">
        <v>173</v>
      </c>
      <c r="M284" s="31">
        <v>2</v>
      </c>
      <c r="N284" s="31">
        <v>1</v>
      </c>
      <c r="O284" s="31" t="s">
        <v>700</v>
      </c>
      <c r="P284" s="31" t="s">
        <v>701</v>
      </c>
      <c r="Q284" s="31" t="s">
        <v>701</v>
      </c>
      <c r="R284" s="31" t="s">
        <v>26</v>
      </c>
      <c r="S284" s="31" t="s">
        <v>1794</v>
      </c>
      <c r="T284" s="53" t="s">
        <v>1837</v>
      </c>
    </row>
    <row r="285" spans="1:20" ht="105" customHeight="1">
      <c r="A285" s="31">
        <v>153</v>
      </c>
      <c r="B285" s="31">
        <v>512</v>
      </c>
      <c r="C285" s="31" t="s">
        <v>101</v>
      </c>
      <c r="D285" s="31">
        <v>2557</v>
      </c>
      <c r="E285" s="31" t="s">
        <v>67</v>
      </c>
      <c r="F285" s="32" t="s">
        <v>1541</v>
      </c>
      <c r="G285" s="31">
        <v>0</v>
      </c>
      <c r="H285" s="31">
        <v>0</v>
      </c>
      <c r="I285" s="32" t="s">
        <v>172</v>
      </c>
      <c r="J285" s="32" t="s">
        <v>1538</v>
      </c>
      <c r="K285" s="32" t="s">
        <v>1539</v>
      </c>
      <c r="L285" s="32" t="s">
        <v>173</v>
      </c>
      <c r="M285" s="31">
        <v>2</v>
      </c>
      <c r="N285" s="31">
        <v>1</v>
      </c>
      <c r="O285" s="31" t="s">
        <v>700</v>
      </c>
      <c r="P285" s="31" t="s">
        <v>701</v>
      </c>
      <c r="Q285" s="31" t="s">
        <v>701</v>
      </c>
      <c r="R285" s="31" t="s">
        <v>26</v>
      </c>
      <c r="S285" s="31" t="s">
        <v>1794</v>
      </c>
      <c r="T285" s="53" t="s">
        <v>1837</v>
      </c>
    </row>
    <row r="286" spans="1:20" ht="105" customHeight="1">
      <c r="A286" s="31">
        <v>153</v>
      </c>
      <c r="B286" s="31">
        <v>512</v>
      </c>
      <c r="C286" s="31" t="s">
        <v>101</v>
      </c>
      <c r="D286" s="31">
        <v>2558</v>
      </c>
      <c r="E286" s="31" t="s">
        <v>67</v>
      </c>
      <c r="F286" s="32" t="s">
        <v>1542</v>
      </c>
      <c r="G286" s="31">
        <v>0</v>
      </c>
      <c r="H286" s="31">
        <v>0</v>
      </c>
      <c r="I286" s="32" t="s">
        <v>172</v>
      </c>
      <c r="J286" s="32" t="s">
        <v>1538</v>
      </c>
      <c r="K286" s="32" t="s">
        <v>1539</v>
      </c>
      <c r="L286" s="32" t="s">
        <v>173</v>
      </c>
      <c r="M286" s="31">
        <v>2</v>
      </c>
      <c r="N286" s="31">
        <v>1</v>
      </c>
      <c r="O286" s="31" t="s">
        <v>700</v>
      </c>
      <c r="P286" s="31" t="s">
        <v>701</v>
      </c>
      <c r="Q286" s="31" t="s">
        <v>701</v>
      </c>
      <c r="R286" s="31" t="s">
        <v>26</v>
      </c>
      <c r="S286" s="31" t="s">
        <v>1794</v>
      </c>
      <c r="T286" s="53" t="s">
        <v>1837</v>
      </c>
    </row>
    <row r="287" spans="1:20" ht="105" customHeight="1">
      <c r="A287" s="31">
        <v>153</v>
      </c>
      <c r="B287" s="31">
        <v>512</v>
      </c>
      <c r="C287" s="31" t="s">
        <v>101</v>
      </c>
      <c r="D287" s="31">
        <v>2559</v>
      </c>
      <c r="E287" s="31" t="s">
        <v>67</v>
      </c>
      <c r="F287" s="32" t="s">
        <v>1543</v>
      </c>
      <c r="G287" s="31">
        <v>0</v>
      </c>
      <c r="H287" s="31">
        <v>0</v>
      </c>
      <c r="I287" s="32" t="s">
        <v>172</v>
      </c>
      <c r="J287" s="32" t="s">
        <v>1538</v>
      </c>
      <c r="K287" s="32" t="s">
        <v>1539</v>
      </c>
      <c r="L287" s="32" t="s">
        <v>173</v>
      </c>
      <c r="M287" s="31">
        <v>2</v>
      </c>
      <c r="N287" s="31">
        <v>1</v>
      </c>
      <c r="O287" s="31" t="s">
        <v>700</v>
      </c>
      <c r="P287" s="31" t="s">
        <v>701</v>
      </c>
      <c r="Q287" s="31" t="s">
        <v>701</v>
      </c>
      <c r="R287" s="31" t="s">
        <v>26</v>
      </c>
      <c r="S287" s="31" t="s">
        <v>1794</v>
      </c>
      <c r="T287" s="53" t="s">
        <v>1837</v>
      </c>
    </row>
    <row r="288" spans="1:20" ht="105" customHeight="1">
      <c r="A288" s="31">
        <v>155</v>
      </c>
      <c r="B288" s="31">
        <v>517</v>
      </c>
      <c r="C288" s="31" t="s">
        <v>642</v>
      </c>
      <c r="D288" s="31">
        <v>2584</v>
      </c>
      <c r="E288" s="31" t="s">
        <v>57</v>
      </c>
      <c r="F288" s="32" t="s">
        <v>644</v>
      </c>
      <c r="G288" s="31">
        <v>1</v>
      </c>
      <c r="H288" s="31">
        <v>0</v>
      </c>
      <c r="I288" s="32" t="s">
        <v>1544</v>
      </c>
      <c r="J288" s="32" t="s">
        <v>1545</v>
      </c>
      <c r="K288" s="32" t="s">
        <v>1546</v>
      </c>
      <c r="L288" s="32" t="s">
        <v>1547</v>
      </c>
      <c r="M288" s="31">
        <v>4</v>
      </c>
      <c r="N288" s="31">
        <v>0</v>
      </c>
      <c r="O288" s="31" t="s">
        <v>979</v>
      </c>
      <c r="P288" s="31" t="s">
        <v>702</v>
      </c>
      <c r="Q288" s="31" t="s">
        <v>701</v>
      </c>
      <c r="R288" s="31"/>
      <c r="S288" s="31" t="s">
        <v>706</v>
      </c>
      <c r="T288" s="53" t="s">
        <v>1838</v>
      </c>
    </row>
    <row r="289" spans="1:20" ht="105" customHeight="1">
      <c r="A289" s="31">
        <v>156</v>
      </c>
      <c r="B289" s="31">
        <v>518</v>
      </c>
      <c r="C289" s="31" t="s">
        <v>645</v>
      </c>
      <c r="D289" s="31">
        <v>2587</v>
      </c>
      <c r="E289" s="31" t="s">
        <v>208</v>
      </c>
      <c r="F289" s="32" t="s">
        <v>647</v>
      </c>
      <c r="G289" s="31">
        <v>1</v>
      </c>
      <c r="H289" s="31">
        <v>0</v>
      </c>
      <c r="I289" s="32" t="s">
        <v>1548</v>
      </c>
      <c r="J289" s="32" t="s">
        <v>1549</v>
      </c>
      <c r="K289" s="32" t="s">
        <v>1550</v>
      </c>
      <c r="L289" s="32" t="s">
        <v>1551</v>
      </c>
      <c r="M289" s="31">
        <v>0</v>
      </c>
      <c r="N289" s="31">
        <v>2</v>
      </c>
      <c r="O289" s="31" t="s">
        <v>726</v>
      </c>
      <c r="P289" s="31" t="s">
        <v>702</v>
      </c>
      <c r="Q289" s="31" t="s">
        <v>701</v>
      </c>
      <c r="R289" s="31"/>
      <c r="S289" s="31" t="s">
        <v>706</v>
      </c>
      <c r="T289" s="53" t="s">
        <v>1840</v>
      </c>
    </row>
    <row r="290" spans="1:20" ht="105" customHeight="1">
      <c r="A290" s="31">
        <v>157</v>
      </c>
      <c r="B290" s="31">
        <v>521</v>
      </c>
      <c r="C290" s="31" t="s">
        <v>103</v>
      </c>
      <c r="D290" s="31">
        <v>2601</v>
      </c>
      <c r="E290" s="31" t="s">
        <v>67</v>
      </c>
      <c r="F290" s="32" t="s">
        <v>649</v>
      </c>
      <c r="G290" s="31">
        <v>0</v>
      </c>
      <c r="H290" s="31">
        <v>0</v>
      </c>
      <c r="I290" s="32" t="s">
        <v>175</v>
      </c>
      <c r="J290" s="32" t="s">
        <v>1552</v>
      </c>
      <c r="K290" s="32" t="s">
        <v>1553</v>
      </c>
      <c r="L290" s="32" t="s">
        <v>176</v>
      </c>
      <c r="M290" s="31">
        <v>7</v>
      </c>
      <c r="N290" s="31">
        <v>14</v>
      </c>
      <c r="O290" s="31" t="s">
        <v>714</v>
      </c>
      <c r="P290" s="31" t="s">
        <v>701</v>
      </c>
      <c r="Q290" s="31" t="s">
        <v>701</v>
      </c>
      <c r="R290" s="31" t="s">
        <v>23</v>
      </c>
      <c r="S290" s="31" t="s">
        <v>1794</v>
      </c>
      <c r="T290" s="53" t="s">
        <v>1840</v>
      </c>
    </row>
    <row r="291" spans="1:20" ht="105" customHeight="1">
      <c r="A291" s="31">
        <v>157</v>
      </c>
      <c r="B291" s="31">
        <v>521</v>
      </c>
      <c r="C291" s="31" t="s">
        <v>103</v>
      </c>
      <c r="D291" s="31">
        <v>2602</v>
      </c>
      <c r="E291" s="31" t="s">
        <v>67</v>
      </c>
      <c r="F291" s="32" t="s">
        <v>1554</v>
      </c>
      <c r="G291" s="31">
        <v>0</v>
      </c>
      <c r="H291" s="31">
        <v>0</v>
      </c>
      <c r="I291" s="32" t="s">
        <v>175</v>
      </c>
      <c r="J291" s="32" t="s">
        <v>1555</v>
      </c>
      <c r="K291" s="32" t="s">
        <v>1556</v>
      </c>
      <c r="L291" s="32" t="s">
        <v>176</v>
      </c>
      <c r="M291" s="31">
        <v>14</v>
      </c>
      <c r="N291" s="31">
        <v>14</v>
      </c>
      <c r="O291" s="31" t="s">
        <v>762</v>
      </c>
      <c r="P291" s="31" t="s">
        <v>702</v>
      </c>
      <c r="Q291" s="31" t="s">
        <v>701</v>
      </c>
      <c r="R291" s="31" t="s">
        <v>23</v>
      </c>
      <c r="S291" s="31" t="s">
        <v>706</v>
      </c>
      <c r="T291" s="53" t="s">
        <v>1840</v>
      </c>
    </row>
    <row r="292" spans="1:20" ht="105" customHeight="1">
      <c r="A292" s="31">
        <v>158</v>
      </c>
      <c r="B292" s="31">
        <v>522</v>
      </c>
      <c r="C292" s="31" t="s">
        <v>650</v>
      </c>
      <c r="D292" s="31">
        <v>2606</v>
      </c>
      <c r="E292" s="31" t="s">
        <v>318</v>
      </c>
      <c r="F292" s="32" t="s">
        <v>652</v>
      </c>
      <c r="G292" s="31">
        <v>1</v>
      </c>
      <c r="H292" s="31">
        <v>0</v>
      </c>
      <c r="I292" s="32" t="s">
        <v>1557</v>
      </c>
      <c r="J292" s="32" t="s">
        <v>1558</v>
      </c>
      <c r="K292" s="32"/>
      <c r="L292" s="32" t="s">
        <v>1559</v>
      </c>
      <c r="M292" s="31">
        <v>0</v>
      </c>
      <c r="N292" s="31">
        <v>14</v>
      </c>
      <c r="O292" s="31" t="s">
        <v>726</v>
      </c>
      <c r="P292" s="31" t="s">
        <v>702</v>
      </c>
      <c r="Q292" s="31" t="s">
        <v>701</v>
      </c>
      <c r="R292" s="31"/>
      <c r="S292" s="31" t="s">
        <v>706</v>
      </c>
      <c r="T292" s="53" t="s">
        <v>1841</v>
      </c>
    </row>
    <row r="293" spans="1:20" ht="105" customHeight="1">
      <c r="A293" s="31">
        <v>158</v>
      </c>
      <c r="B293" s="31">
        <v>522</v>
      </c>
      <c r="C293" s="31" t="s">
        <v>650</v>
      </c>
      <c r="D293" s="31">
        <v>2607</v>
      </c>
      <c r="E293" s="31" t="s">
        <v>318</v>
      </c>
      <c r="F293" s="32" t="s">
        <v>1560</v>
      </c>
      <c r="G293" s="31">
        <v>1</v>
      </c>
      <c r="H293" s="31">
        <v>0</v>
      </c>
      <c r="I293" s="32" t="s">
        <v>1557</v>
      </c>
      <c r="J293" s="32" t="s">
        <v>1561</v>
      </c>
      <c r="K293" s="32" t="s">
        <v>1562</v>
      </c>
      <c r="L293" s="32" t="s">
        <v>1559</v>
      </c>
      <c r="M293" s="31">
        <v>1</v>
      </c>
      <c r="N293" s="31">
        <v>14</v>
      </c>
      <c r="O293" s="31" t="s">
        <v>700</v>
      </c>
      <c r="P293" s="31" t="s">
        <v>702</v>
      </c>
      <c r="Q293" s="31" t="s">
        <v>701</v>
      </c>
      <c r="R293" s="31"/>
      <c r="S293" s="31" t="s">
        <v>706</v>
      </c>
      <c r="T293" s="53" t="s">
        <v>1841</v>
      </c>
    </row>
    <row r="294" spans="1:20" ht="105" customHeight="1">
      <c r="A294" s="31">
        <v>158</v>
      </c>
      <c r="B294" s="31">
        <v>522</v>
      </c>
      <c r="C294" s="31" t="s">
        <v>650</v>
      </c>
      <c r="D294" s="31">
        <v>2608</v>
      </c>
      <c r="E294" s="31" t="s">
        <v>318</v>
      </c>
      <c r="F294" s="32" t="s">
        <v>1563</v>
      </c>
      <c r="G294" s="31">
        <v>1</v>
      </c>
      <c r="H294" s="31">
        <v>0</v>
      </c>
      <c r="I294" s="32" t="s">
        <v>1557</v>
      </c>
      <c r="J294" s="32" t="s">
        <v>1564</v>
      </c>
      <c r="K294" s="32" t="s">
        <v>1565</v>
      </c>
      <c r="L294" s="32" t="s">
        <v>1559</v>
      </c>
      <c r="M294" s="31">
        <v>0</v>
      </c>
      <c r="N294" s="31">
        <v>14</v>
      </c>
      <c r="O294" s="31" t="s">
        <v>726</v>
      </c>
      <c r="P294" s="31" t="s">
        <v>702</v>
      </c>
      <c r="Q294" s="31" t="s">
        <v>701</v>
      </c>
      <c r="R294" s="31"/>
      <c r="S294" s="31" t="s">
        <v>706</v>
      </c>
      <c r="T294" s="53" t="s">
        <v>1841</v>
      </c>
    </row>
    <row r="295" spans="1:20" ht="105" customHeight="1">
      <c r="A295" s="31">
        <v>159</v>
      </c>
      <c r="B295" s="31">
        <v>530</v>
      </c>
      <c r="C295" s="31" t="s">
        <v>653</v>
      </c>
      <c r="D295" s="31">
        <v>2646</v>
      </c>
      <c r="E295" s="31" t="s">
        <v>236</v>
      </c>
      <c r="F295" s="32" t="s">
        <v>655</v>
      </c>
      <c r="G295" s="31">
        <v>1</v>
      </c>
      <c r="H295" s="31">
        <v>0</v>
      </c>
      <c r="I295" s="32" t="s">
        <v>1566</v>
      </c>
      <c r="J295" s="32" t="s">
        <v>1567</v>
      </c>
      <c r="K295" s="32" t="s">
        <v>1568</v>
      </c>
      <c r="L295" s="32" t="s">
        <v>1569</v>
      </c>
      <c r="M295" s="31">
        <v>4</v>
      </c>
      <c r="N295" s="31">
        <v>1</v>
      </c>
      <c r="O295" s="31" t="s">
        <v>700</v>
      </c>
      <c r="P295" s="31" t="s">
        <v>702</v>
      </c>
      <c r="Q295" s="31" t="s">
        <v>701</v>
      </c>
      <c r="R295" s="31"/>
      <c r="S295" s="31" t="s">
        <v>706</v>
      </c>
      <c r="T295" s="53" t="s">
        <v>1847</v>
      </c>
    </row>
    <row r="296" spans="1:20" ht="105" customHeight="1">
      <c r="A296" s="31">
        <v>159</v>
      </c>
      <c r="B296" s="31">
        <v>530</v>
      </c>
      <c r="C296" s="31" t="s">
        <v>653</v>
      </c>
      <c r="D296" s="31">
        <v>2647</v>
      </c>
      <c r="E296" s="31" t="s">
        <v>236</v>
      </c>
      <c r="F296" s="32" t="s">
        <v>1570</v>
      </c>
      <c r="G296" s="31">
        <v>1</v>
      </c>
      <c r="H296" s="31">
        <v>0</v>
      </c>
      <c r="I296" s="32" t="s">
        <v>1566</v>
      </c>
      <c r="J296" s="32" t="s">
        <v>1571</v>
      </c>
      <c r="K296" s="32" t="s">
        <v>1568</v>
      </c>
      <c r="L296" s="32" t="s">
        <v>1569</v>
      </c>
      <c r="M296" s="31">
        <v>4</v>
      </c>
      <c r="N296" s="31">
        <v>1</v>
      </c>
      <c r="O296" s="31" t="s">
        <v>700</v>
      </c>
      <c r="P296" s="31" t="s">
        <v>702</v>
      </c>
      <c r="Q296" s="31" t="s">
        <v>701</v>
      </c>
      <c r="R296" s="31"/>
      <c r="S296" s="31" t="s">
        <v>706</v>
      </c>
      <c r="T296" s="53" t="s">
        <v>1847</v>
      </c>
    </row>
    <row r="297" spans="1:20" ht="105" customHeight="1">
      <c r="A297" s="31">
        <v>159</v>
      </c>
      <c r="B297" s="31">
        <v>530</v>
      </c>
      <c r="C297" s="31" t="s">
        <v>653</v>
      </c>
      <c r="D297" s="31">
        <v>2649</v>
      </c>
      <c r="E297" s="31" t="s">
        <v>236</v>
      </c>
      <c r="F297" s="32" t="s">
        <v>1572</v>
      </c>
      <c r="G297" s="31">
        <v>1</v>
      </c>
      <c r="H297" s="31">
        <v>0</v>
      </c>
      <c r="I297" s="32" t="s">
        <v>1566</v>
      </c>
      <c r="J297" s="32" t="s">
        <v>1571</v>
      </c>
      <c r="K297" s="32" t="s">
        <v>1568</v>
      </c>
      <c r="L297" s="32" t="s">
        <v>1569</v>
      </c>
      <c r="M297" s="31">
        <v>4</v>
      </c>
      <c r="N297" s="31">
        <v>1</v>
      </c>
      <c r="O297" s="31" t="s">
        <v>700</v>
      </c>
      <c r="P297" s="31" t="s">
        <v>702</v>
      </c>
      <c r="Q297" s="31" t="s">
        <v>701</v>
      </c>
      <c r="R297" s="31"/>
      <c r="S297" s="31" t="s">
        <v>706</v>
      </c>
      <c r="T297" s="53" t="s">
        <v>1847</v>
      </c>
    </row>
    <row r="298" spans="1:20" ht="105" customHeight="1">
      <c r="A298" s="31">
        <v>160</v>
      </c>
      <c r="B298" s="31">
        <v>532</v>
      </c>
      <c r="C298" s="31" t="s">
        <v>656</v>
      </c>
      <c r="D298" s="31">
        <v>2658</v>
      </c>
      <c r="E298" s="31" t="s">
        <v>218</v>
      </c>
      <c r="F298" s="32" t="s">
        <v>658</v>
      </c>
      <c r="G298" s="31">
        <v>1</v>
      </c>
      <c r="H298" s="31">
        <v>0</v>
      </c>
      <c r="I298" s="32" t="s">
        <v>1573</v>
      </c>
      <c r="J298" s="32" t="s">
        <v>1574</v>
      </c>
      <c r="K298" s="32" t="s">
        <v>1575</v>
      </c>
      <c r="L298" s="32" t="s">
        <v>1576</v>
      </c>
      <c r="M298" s="31">
        <v>1</v>
      </c>
      <c r="N298" s="31">
        <v>19</v>
      </c>
      <c r="O298" s="31" t="s">
        <v>796</v>
      </c>
      <c r="P298" s="31" t="s">
        <v>702</v>
      </c>
      <c r="Q298" s="31" t="s">
        <v>701</v>
      </c>
      <c r="R298" s="31"/>
      <c r="S298" s="31" t="s">
        <v>706</v>
      </c>
      <c r="T298" s="53" t="s">
        <v>1848</v>
      </c>
    </row>
    <row r="299" spans="1:20" ht="105" customHeight="1">
      <c r="A299" s="31">
        <v>161</v>
      </c>
      <c r="B299" s="31">
        <v>537</v>
      </c>
      <c r="C299" s="31" t="s">
        <v>659</v>
      </c>
      <c r="D299" s="31">
        <v>2680</v>
      </c>
      <c r="E299" s="31" t="s">
        <v>67</v>
      </c>
      <c r="F299" s="32" t="s">
        <v>661</v>
      </c>
      <c r="G299" s="31">
        <v>1</v>
      </c>
      <c r="H299" s="31">
        <v>0</v>
      </c>
      <c r="I299" s="32" t="s">
        <v>1577</v>
      </c>
      <c r="J299" s="32" t="s">
        <v>1578</v>
      </c>
      <c r="K299" s="32" t="s">
        <v>1579</v>
      </c>
      <c r="L299" s="32" t="s">
        <v>1580</v>
      </c>
      <c r="M299" s="31">
        <v>68</v>
      </c>
      <c r="N299" s="31">
        <v>19</v>
      </c>
      <c r="O299" s="31" t="s">
        <v>714</v>
      </c>
      <c r="P299" s="31" t="s">
        <v>702</v>
      </c>
      <c r="Q299" s="31" t="s">
        <v>701</v>
      </c>
      <c r="R299" s="31"/>
      <c r="S299" s="31" t="s">
        <v>706</v>
      </c>
      <c r="T299" s="53" t="s">
        <v>1849</v>
      </c>
    </row>
    <row r="300" spans="1:20" ht="105" customHeight="1">
      <c r="A300" s="31">
        <v>161</v>
      </c>
      <c r="B300" s="31">
        <v>537</v>
      </c>
      <c r="C300" s="31" t="s">
        <v>659</v>
      </c>
      <c r="D300" s="31">
        <v>2681</v>
      </c>
      <c r="E300" s="31" t="s">
        <v>67</v>
      </c>
      <c r="F300" s="32" t="s">
        <v>1581</v>
      </c>
      <c r="G300" s="31">
        <v>1</v>
      </c>
      <c r="H300" s="31">
        <v>0</v>
      </c>
      <c r="I300" s="32" t="s">
        <v>1577</v>
      </c>
      <c r="J300" s="32" t="s">
        <v>1578</v>
      </c>
      <c r="K300" s="32" t="s">
        <v>1579</v>
      </c>
      <c r="L300" s="32" t="s">
        <v>1580</v>
      </c>
      <c r="M300" s="31">
        <v>68</v>
      </c>
      <c r="N300" s="31">
        <v>19</v>
      </c>
      <c r="O300" s="31" t="s">
        <v>714</v>
      </c>
      <c r="P300" s="31" t="s">
        <v>702</v>
      </c>
      <c r="Q300" s="31" t="s">
        <v>701</v>
      </c>
      <c r="R300" s="31"/>
      <c r="S300" s="31" t="s">
        <v>706</v>
      </c>
      <c r="T300" s="53" t="s">
        <v>1849</v>
      </c>
    </row>
    <row r="301" spans="1:20" ht="105" customHeight="1">
      <c r="A301" s="31">
        <v>161</v>
      </c>
      <c r="B301" s="31">
        <v>537</v>
      </c>
      <c r="C301" s="31" t="s">
        <v>659</v>
      </c>
      <c r="D301" s="31">
        <v>2682</v>
      </c>
      <c r="E301" s="31" t="s">
        <v>67</v>
      </c>
      <c r="F301" s="32" t="s">
        <v>1582</v>
      </c>
      <c r="G301" s="31">
        <v>1</v>
      </c>
      <c r="H301" s="31">
        <v>0</v>
      </c>
      <c r="I301" s="32" t="s">
        <v>1577</v>
      </c>
      <c r="J301" s="32" t="s">
        <v>1578</v>
      </c>
      <c r="K301" s="32" t="s">
        <v>1579</v>
      </c>
      <c r="L301" s="32" t="s">
        <v>1580</v>
      </c>
      <c r="M301" s="31">
        <v>68</v>
      </c>
      <c r="N301" s="31">
        <v>19</v>
      </c>
      <c r="O301" s="31" t="s">
        <v>714</v>
      </c>
      <c r="P301" s="31" t="s">
        <v>702</v>
      </c>
      <c r="Q301" s="31" t="s">
        <v>701</v>
      </c>
      <c r="R301" s="31"/>
      <c r="S301" s="31" t="s">
        <v>706</v>
      </c>
      <c r="T301" s="53" t="s">
        <v>1849</v>
      </c>
    </row>
    <row r="302" spans="1:20" ht="105" customHeight="1">
      <c r="A302" s="31">
        <v>161</v>
      </c>
      <c r="B302" s="31">
        <v>537</v>
      </c>
      <c r="C302" s="31" t="s">
        <v>659</v>
      </c>
      <c r="D302" s="31">
        <v>2683</v>
      </c>
      <c r="E302" s="31" t="s">
        <v>67</v>
      </c>
      <c r="F302" s="32" t="s">
        <v>1583</v>
      </c>
      <c r="G302" s="31">
        <v>1</v>
      </c>
      <c r="H302" s="31">
        <v>0</v>
      </c>
      <c r="I302" s="32" t="s">
        <v>1577</v>
      </c>
      <c r="J302" s="32" t="s">
        <v>1578</v>
      </c>
      <c r="K302" s="32" t="s">
        <v>1579</v>
      </c>
      <c r="L302" s="32" t="s">
        <v>1580</v>
      </c>
      <c r="M302" s="31">
        <v>68</v>
      </c>
      <c r="N302" s="31">
        <v>19</v>
      </c>
      <c r="O302" s="31" t="s">
        <v>714</v>
      </c>
      <c r="P302" s="31" t="s">
        <v>702</v>
      </c>
      <c r="Q302" s="31" t="s">
        <v>701</v>
      </c>
      <c r="R302" s="31"/>
      <c r="S302" s="31" t="s">
        <v>706</v>
      </c>
      <c r="T302" s="53" t="s">
        <v>1849</v>
      </c>
    </row>
    <row r="303" spans="1:20" ht="105" customHeight="1">
      <c r="A303" s="31">
        <v>162</v>
      </c>
      <c r="B303" s="31">
        <v>539</v>
      </c>
      <c r="C303" s="31" t="s">
        <v>662</v>
      </c>
      <c r="D303" s="31">
        <v>2694</v>
      </c>
      <c r="E303" s="31" t="s">
        <v>218</v>
      </c>
      <c r="F303" s="32" t="s">
        <v>664</v>
      </c>
      <c r="G303" s="31">
        <v>1</v>
      </c>
      <c r="H303" s="31">
        <v>0</v>
      </c>
      <c r="I303" s="32" t="s">
        <v>1584</v>
      </c>
      <c r="J303" s="32" t="s">
        <v>1585</v>
      </c>
      <c r="K303" s="32" t="s">
        <v>1586</v>
      </c>
      <c r="L303" s="32" t="s">
        <v>1587</v>
      </c>
      <c r="M303" s="31">
        <v>106</v>
      </c>
      <c r="N303" s="31">
        <v>11</v>
      </c>
      <c r="O303" s="31" t="s">
        <v>700</v>
      </c>
      <c r="P303" s="31" t="s">
        <v>702</v>
      </c>
      <c r="Q303" s="31" t="s">
        <v>701</v>
      </c>
      <c r="R303" s="31"/>
      <c r="S303" s="31" t="s">
        <v>706</v>
      </c>
      <c r="T303" s="53" t="s">
        <v>1850</v>
      </c>
    </row>
    <row r="304" spans="1:20" ht="105" customHeight="1">
      <c r="A304" s="31">
        <v>163</v>
      </c>
      <c r="B304" s="31">
        <v>540</v>
      </c>
      <c r="C304" s="31" t="s">
        <v>665</v>
      </c>
      <c r="D304" s="31">
        <v>2695</v>
      </c>
      <c r="E304" s="31" t="s">
        <v>328</v>
      </c>
      <c r="F304" s="32" t="s">
        <v>667</v>
      </c>
      <c r="G304" s="31">
        <v>1</v>
      </c>
      <c r="H304" s="31">
        <v>0</v>
      </c>
      <c r="I304" s="32" t="s">
        <v>1588</v>
      </c>
      <c r="J304" s="32" t="s">
        <v>1589</v>
      </c>
      <c r="K304" s="32" t="s">
        <v>1590</v>
      </c>
      <c r="L304" s="32" t="s">
        <v>1591</v>
      </c>
      <c r="M304" s="31">
        <v>10</v>
      </c>
      <c r="N304" s="31">
        <v>3</v>
      </c>
      <c r="O304" s="31" t="s">
        <v>714</v>
      </c>
      <c r="P304" s="31" t="s">
        <v>702</v>
      </c>
      <c r="Q304" s="31" t="s">
        <v>701</v>
      </c>
      <c r="R304" s="31"/>
      <c r="S304" s="31" t="s">
        <v>706</v>
      </c>
      <c r="T304" s="53" t="s">
        <v>1851</v>
      </c>
    </row>
    <row r="305" spans="1:20" ht="105" customHeight="1">
      <c r="A305" s="31">
        <v>163</v>
      </c>
      <c r="B305" s="31">
        <v>540</v>
      </c>
      <c r="C305" s="31" t="s">
        <v>665</v>
      </c>
      <c r="D305" s="31">
        <v>2698</v>
      </c>
      <c r="E305" s="31" t="s">
        <v>328</v>
      </c>
      <c r="F305" s="32" t="s">
        <v>1592</v>
      </c>
      <c r="G305" s="31">
        <v>1</v>
      </c>
      <c r="H305" s="31">
        <v>0</v>
      </c>
      <c r="I305" s="32" t="s">
        <v>1588</v>
      </c>
      <c r="J305" s="32" t="s">
        <v>1589</v>
      </c>
      <c r="K305" s="32" t="s">
        <v>1590</v>
      </c>
      <c r="L305" s="32" t="s">
        <v>1591</v>
      </c>
      <c r="M305" s="31">
        <v>10</v>
      </c>
      <c r="N305" s="31">
        <v>3</v>
      </c>
      <c r="O305" s="31" t="s">
        <v>714</v>
      </c>
      <c r="P305" s="31" t="s">
        <v>702</v>
      </c>
      <c r="Q305" s="31" t="s">
        <v>701</v>
      </c>
      <c r="R305" s="31"/>
      <c r="S305" s="31" t="s">
        <v>706</v>
      </c>
      <c r="T305" s="53" t="s">
        <v>1851</v>
      </c>
    </row>
    <row r="306" spans="1:20" ht="105" customHeight="1">
      <c r="A306" s="31">
        <v>163</v>
      </c>
      <c r="B306" s="31">
        <v>540</v>
      </c>
      <c r="C306" s="31" t="s">
        <v>665</v>
      </c>
      <c r="D306" s="31">
        <v>2699</v>
      </c>
      <c r="E306" s="31" t="s">
        <v>328</v>
      </c>
      <c r="F306" s="32" t="s">
        <v>1593</v>
      </c>
      <c r="G306" s="31">
        <v>1</v>
      </c>
      <c r="H306" s="31">
        <v>0</v>
      </c>
      <c r="I306" s="32" t="s">
        <v>1588</v>
      </c>
      <c r="J306" s="32" t="s">
        <v>1589</v>
      </c>
      <c r="K306" s="32" t="s">
        <v>1590</v>
      </c>
      <c r="L306" s="32" t="s">
        <v>1591</v>
      </c>
      <c r="M306" s="31">
        <v>10</v>
      </c>
      <c r="N306" s="31">
        <v>3</v>
      </c>
      <c r="O306" s="31" t="s">
        <v>714</v>
      </c>
      <c r="P306" s="31" t="s">
        <v>702</v>
      </c>
      <c r="Q306" s="31" t="s">
        <v>701</v>
      </c>
      <c r="R306" s="31"/>
      <c r="S306" s="31" t="s">
        <v>706</v>
      </c>
      <c r="T306" s="53" t="s">
        <v>1851</v>
      </c>
    </row>
    <row r="307" spans="1:20" ht="105" customHeight="1">
      <c r="A307" s="31">
        <v>164</v>
      </c>
      <c r="B307" s="31">
        <v>546</v>
      </c>
      <c r="C307" s="31" t="s">
        <v>668</v>
      </c>
      <c r="D307" s="31">
        <v>2728</v>
      </c>
      <c r="E307" s="31" t="s">
        <v>222</v>
      </c>
      <c r="F307" s="32" t="s">
        <v>670</v>
      </c>
      <c r="G307" s="31">
        <v>1</v>
      </c>
      <c r="H307" s="31">
        <v>0</v>
      </c>
      <c r="I307" s="32" t="s">
        <v>1594</v>
      </c>
      <c r="J307" s="32" t="s">
        <v>1595</v>
      </c>
      <c r="K307" s="32" t="s">
        <v>1596</v>
      </c>
      <c r="L307" s="32" t="s">
        <v>1597</v>
      </c>
      <c r="M307" s="31">
        <v>1</v>
      </c>
      <c r="N307" s="31">
        <v>1</v>
      </c>
      <c r="O307" s="31" t="s">
        <v>769</v>
      </c>
      <c r="P307" s="31" t="s">
        <v>702</v>
      </c>
      <c r="Q307" s="31" t="s">
        <v>701</v>
      </c>
      <c r="R307" s="31"/>
      <c r="S307" s="31" t="s">
        <v>706</v>
      </c>
      <c r="T307" s="53" t="s">
        <v>1852</v>
      </c>
    </row>
    <row r="308" spans="1:20" ht="105" customHeight="1">
      <c r="A308" s="31">
        <v>165</v>
      </c>
      <c r="B308" s="31">
        <v>548</v>
      </c>
      <c r="C308" s="31" t="s">
        <v>109</v>
      </c>
      <c r="D308" s="31">
        <v>2735</v>
      </c>
      <c r="E308" s="31" t="s">
        <v>50</v>
      </c>
      <c r="F308" s="32" t="s">
        <v>180</v>
      </c>
      <c r="G308" s="31">
        <v>0</v>
      </c>
      <c r="H308" s="31">
        <v>0</v>
      </c>
      <c r="I308" s="32" t="s">
        <v>181</v>
      </c>
      <c r="J308" s="32" t="s">
        <v>181</v>
      </c>
      <c r="K308" s="32" t="s">
        <v>1598</v>
      </c>
      <c r="L308" s="32" t="s">
        <v>182</v>
      </c>
      <c r="M308" s="31">
        <v>5</v>
      </c>
      <c r="N308" s="31">
        <v>4</v>
      </c>
      <c r="O308" s="31" t="s">
        <v>700</v>
      </c>
      <c r="P308" s="31" t="s">
        <v>701</v>
      </c>
      <c r="Q308" s="31" t="s">
        <v>701</v>
      </c>
      <c r="R308" s="31" t="s">
        <v>23</v>
      </c>
      <c r="S308" s="31" t="s">
        <v>1812</v>
      </c>
      <c r="T308" s="53" t="s">
        <v>1853</v>
      </c>
    </row>
    <row r="309" spans="1:20" ht="105" customHeight="1">
      <c r="A309" s="31">
        <v>165</v>
      </c>
      <c r="B309" s="31">
        <v>548</v>
      </c>
      <c r="C309" s="31" t="s">
        <v>109</v>
      </c>
      <c r="D309" s="31">
        <v>2737</v>
      </c>
      <c r="E309" s="31" t="s">
        <v>50</v>
      </c>
      <c r="F309" s="32" t="s">
        <v>1599</v>
      </c>
      <c r="G309" s="31">
        <v>0</v>
      </c>
      <c r="H309" s="31">
        <v>0</v>
      </c>
      <c r="I309" s="32" t="s">
        <v>181</v>
      </c>
      <c r="J309" s="32" t="s">
        <v>1600</v>
      </c>
      <c r="K309" s="32" t="s">
        <v>1598</v>
      </c>
      <c r="L309" s="32" t="s">
        <v>182</v>
      </c>
      <c r="M309" s="31">
        <v>5</v>
      </c>
      <c r="N309" s="31">
        <v>4</v>
      </c>
      <c r="O309" s="31" t="s">
        <v>700</v>
      </c>
      <c r="P309" s="31" t="s">
        <v>701</v>
      </c>
      <c r="Q309" s="31" t="s">
        <v>701</v>
      </c>
      <c r="R309" s="31" t="s">
        <v>23</v>
      </c>
      <c r="S309" s="31" t="s">
        <v>1812</v>
      </c>
      <c r="T309" s="53" t="s">
        <v>1853</v>
      </c>
    </row>
    <row r="310" spans="1:20" ht="105" customHeight="1">
      <c r="A310" s="31">
        <v>165</v>
      </c>
      <c r="B310" s="31">
        <v>548</v>
      </c>
      <c r="C310" s="31" t="s">
        <v>109</v>
      </c>
      <c r="D310" s="31">
        <v>2738</v>
      </c>
      <c r="E310" s="31" t="s">
        <v>50</v>
      </c>
      <c r="F310" s="32" t="s">
        <v>1601</v>
      </c>
      <c r="G310" s="31">
        <v>0</v>
      </c>
      <c r="H310" s="31">
        <v>0</v>
      </c>
      <c r="I310" s="32" t="s">
        <v>181</v>
      </c>
      <c r="J310" s="32" t="s">
        <v>1602</v>
      </c>
      <c r="K310" s="32" t="s">
        <v>1598</v>
      </c>
      <c r="L310" s="32" t="s">
        <v>182</v>
      </c>
      <c r="M310" s="31">
        <v>5</v>
      </c>
      <c r="N310" s="31">
        <v>4</v>
      </c>
      <c r="O310" s="31" t="s">
        <v>700</v>
      </c>
      <c r="P310" s="31" t="s">
        <v>701</v>
      </c>
      <c r="Q310" s="31" t="s">
        <v>701</v>
      </c>
      <c r="R310" s="31" t="s">
        <v>23</v>
      </c>
      <c r="S310" s="31" t="s">
        <v>1812</v>
      </c>
      <c r="T310" s="53" t="s">
        <v>1853</v>
      </c>
    </row>
    <row r="311" spans="1:20" ht="105" customHeight="1">
      <c r="A311" s="31">
        <v>165</v>
      </c>
      <c r="B311" s="31">
        <v>548</v>
      </c>
      <c r="C311" s="31" t="s">
        <v>109</v>
      </c>
      <c r="D311" s="31">
        <v>2739</v>
      </c>
      <c r="E311" s="31" t="s">
        <v>50</v>
      </c>
      <c r="F311" s="32" t="s">
        <v>1603</v>
      </c>
      <c r="G311" s="31">
        <v>0</v>
      </c>
      <c r="H311" s="31">
        <v>0</v>
      </c>
      <c r="I311" s="32" t="s">
        <v>181</v>
      </c>
      <c r="J311" s="32" t="s">
        <v>1604</v>
      </c>
      <c r="K311" s="32" t="s">
        <v>1598</v>
      </c>
      <c r="L311" s="32" t="s">
        <v>182</v>
      </c>
      <c r="M311" s="31">
        <v>5</v>
      </c>
      <c r="N311" s="31">
        <v>4</v>
      </c>
      <c r="O311" s="31" t="s">
        <v>700</v>
      </c>
      <c r="P311" s="31" t="s">
        <v>701</v>
      </c>
      <c r="Q311" s="31" t="s">
        <v>701</v>
      </c>
      <c r="R311" s="31" t="s">
        <v>23</v>
      </c>
      <c r="S311" s="31" t="s">
        <v>1812</v>
      </c>
      <c r="T311" s="53" t="s">
        <v>1853</v>
      </c>
    </row>
    <row r="312" spans="1:20" ht="105" customHeight="1">
      <c r="A312" s="31">
        <v>166</v>
      </c>
      <c r="B312" s="31">
        <v>551</v>
      </c>
      <c r="C312" s="31" t="s">
        <v>672</v>
      </c>
      <c r="D312" s="31">
        <v>2754</v>
      </c>
      <c r="E312" s="31" t="s">
        <v>222</v>
      </c>
      <c r="F312" s="32" t="s">
        <v>674</v>
      </c>
      <c r="G312" s="31">
        <v>1</v>
      </c>
      <c r="H312" s="31">
        <v>0</v>
      </c>
      <c r="I312" s="32" t="s">
        <v>1605</v>
      </c>
      <c r="J312" s="32" t="s">
        <v>1606</v>
      </c>
      <c r="K312" s="32" t="s">
        <v>1607</v>
      </c>
      <c r="L312" s="32" t="s">
        <v>1608</v>
      </c>
      <c r="M312" s="31">
        <v>1</v>
      </c>
      <c r="N312" s="31">
        <v>1</v>
      </c>
      <c r="O312" s="31" t="s">
        <v>700</v>
      </c>
      <c r="P312" s="31" t="s">
        <v>702</v>
      </c>
      <c r="Q312" s="31" t="s">
        <v>701</v>
      </c>
      <c r="R312" s="31"/>
      <c r="S312" s="31" t="s">
        <v>706</v>
      </c>
      <c r="T312" s="53" t="s">
        <v>1854</v>
      </c>
    </row>
    <row r="313" spans="1:20" ht="105" customHeight="1">
      <c r="A313" s="31">
        <v>167</v>
      </c>
      <c r="B313" s="31">
        <v>552</v>
      </c>
      <c r="C313" s="31" t="s">
        <v>675</v>
      </c>
      <c r="D313" s="31">
        <v>2759</v>
      </c>
      <c r="E313" s="31" t="s">
        <v>269</v>
      </c>
      <c r="F313" s="32" t="s">
        <v>677</v>
      </c>
      <c r="G313" s="31">
        <v>1</v>
      </c>
      <c r="H313" s="31">
        <v>0</v>
      </c>
      <c r="I313" s="32" t="s">
        <v>1609</v>
      </c>
      <c r="J313" s="32" t="s">
        <v>1610</v>
      </c>
      <c r="K313" s="32" t="s">
        <v>1611</v>
      </c>
      <c r="L313" s="32" t="s">
        <v>1612</v>
      </c>
      <c r="M313" s="31">
        <v>6</v>
      </c>
      <c r="N313" s="31">
        <v>6</v>
      </c>
      <c r="O313" s="31" t="s">
        <v>721</v>
      </c>
      <c r="P313" s="31" t="s">
        <v>702</v>
      </c>
      <c r="Q313" s="31" t="s">
        <v>701</v>
      </c>
      <c r="R313" s="31"/>
      <c r="S313" s="31" t="s">
        <v>706</v>
      </c>
      <c r="T313" s="53" t="s">
        <v>1855</v>
      </c>
    </row>
    <row r="314" spans="1:20" ht="105" customHeight="1">
      <c r="A314" s="31">
        <v>168</v>
      </c>
      <c r="B314" s="31">
        <v>553</v>
      </c>
      <c r="C314" s="31" t="s">
        <v>678</v>
      </c>
      <c r="D314" s="31">
        <v>2762</v>
      </c>
      <c r="E314" s="31" t="s">
        <v>88</v>
      </c>
      <c r="F314" s="32" t="s">
        <v>680</v>
      </c>
      <c r="G314" s="31">
        <v>1</v>
      </c>
      <c r="H314" s="31">
        <v>0</v>
      </c>
      <c r="I314" s="32" t="s">
        <v>1613</v>
      </c>
      <c r="J314" s="32" t="s">
        <v>1614</v>
      </c>
      <c r="K314" s="32" t="s">
        <v>1615</v>
      </c>
      <c r="L314" s="32" t="s">
        <v>1616</v>
      </c>
      <c r="M314" s="31">
        <v>2</v>
      </c>
      <c r="N314" s="31">
        <v>2</v>
      </c>
      <c r="O314" s="31" t="s">
        <v>762</v>
      </c>
      <c r="P314" s="31" t="s">
        <v>701</v>
      </c>
      <c r="Q314" s="31" t="s">
        <v>701</v>
      </c>
      <c r="R314" s="31"/>
      <c r="S314" s="31" t="s">
        <v>1720</v>
      </c>
      <c r="T314" s="53" t="s">
        <v>1856</v>
      </c>
    </row>
    <row r="315" spans="1:20" ht="105" customHeight="1">
      <c r="A315" s="31">
        <v>169</v>
      </c>
      <c r="B315" s="31">
        <v>554</v>
      </c>
      <c r="C315" s="31" t="s">
        <v>681</v>
      </c>
      <c r="D315" s="31">
        <v>2769</v>
      </c>
      <c r="E315" s="31" t="s">
        <v>208</v>
      </c>
      <c r="F315" s="32" t="s">
        <v>683</v>
      </c>
      <c r="G315" s="31">
        <v>1</v>
      </c>
      <c r="H315" s="31">
        <v>0</v>
      </c>
      <c r="I315" s="32" t="s">
        <v>1617</v>
      </c>
      <c r="J315" s="32" t="s">
        <v>1618</v>
      </c>
      <c r="K315" s="32" t="s">
        <v>1619</v>
      </c>
      <c r="L315" s="32" t="s">
        <v>1620</v>
      </c>
      <c r="M315" s="31">
        <v>1</v>
      </c>
      <c r="N315" s="31">
        <v>1</v>
      </c>
      <c r="O315" s="31" t="s">
        <v>762</v>
      </c>
      <c r="P315" s="31" t="s">
        <v>702</v>
      </c>
      <c r="Q315" s="31" t="s">
        <v>701</v>
      </c>
      <c r="R315" s="31"/>
      <c r="S315" s="31" t="s">
        <v>706</v>
      </c>
      <c r="T315" s="53" t="s">
        <v>1857</v>
      </c>
    </row>
    <row r="316" spans="1:20" ht="105" customHeight="1">
      <c r="A316" s="31">
        <v>170</v>
      </c>
      <c r="B316" s="31">
        <v>555</v>
      </c>
      <c r="C316" s="31" t="s">
        <v>684</v>
      </c>
      <c r="D316" s="31">
        <v>2772</v>
      </c>
      <c r="E316" s="31" t="s">
        <v>96</v>
      </c>
      <c r="F316" s="32" t="s">
        <v>686</v>
      </c>
      <c r="G316" s="31">
        <v>1</v>
      </c>
      <c r="H316" s="31">
        <v>0</v>
      </c>
      <c r="I316" s="32" t="s">
        <v>1621</v>
      </c>
      <c r="J316" s="32" t="s">
        <v>1622</v>
      </c>
      <c r="K316" s="32" t="s">
        <v>1623</v>
      </c>
      <c r="L316" s="32" t="s">
        <v>1624</v>
      </c>
      <c r="M316" s="31">
        <v>0</v>
      </c>
      <c r="N316" s="31">
        <v>6</v>
      </c>
      <c r="O316" s="31" t="s">
        <v>726</v>
      </c>
      <c r="P316" s="31" t="s">
        <v>702</v>
      </c>
      <c r="Q316" s="31" t="s">
        <v>701</v>
      </c>
      <c r="R316" s="31"/>
      <c r="S316" s="31" t="s">
        <v>706</v>
      </c>
      <c r="T316" s="53" t="s">
        <v>1858</v>
      </c>
    </row>
    <row r="317" spans="1:20" ht="105" customHeight="1">
      <c r="A317" s="33">
        <v>170</v>
      </c>
      <c r="B317" s="33">
        <v>555</v>
      </c>
      <c r="C317" s="33" t="s">
        <v>684</v>
      </c>
      <c r="D317" s="33">
        <v>2774</v>
      </c>
      <c r="E317" s="33" t="s">
        <v>96</v>
      </c>
      <c r="F317" s="34" t="s">
        <v>1625</v>
      </c>
      <c r="G317" s="33">
        <v>1</v>
      </c>
      <c r="H317" s="33">
        <v>0</v>
      </c>
      <c r="I317" s="34" t="s">
        <v>1621</v>
      </c>
      <c r="J317" s="34" t="s">
        <v>1091</v>
      </c>
      <c r="K317" s="34" t="s">
        <v>1092</v>
      </c>
      <c r="L317" s="34" t="s">
        <v>1624</v>
      </c>
      <c r="M317" s="33">
        <v>9</v>
      </c>
      <c r="N317" s="33">
        <v>6</v>
      </c>
      <c r="O317" s="33" t="s">
        <v>762</v>
      </c>
      <c r="P317" s="31" t="s">
        <v>702</v>
      </c>
      <c r="Q317" s="31" t="s">
        <v>701</v>
      </c>
      <c r="R317" s="33"/>
      <c r="S317" s="31" t="s">
        <v>706</v>
      </c>
      <c r="T317" s="53" t="s">
        <v>1858</v>
      </c>
    </row>
  </sheetData>
  <dataValidations count="1">
    <dataValidation type="list" sqref="P2:Q317" xr:uid="{C21DB076-1668-46F4-987B-65A3F827E067}">
      <formula1>"Pending,Yes,No"</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Summary</vt:lpstr>
      <vt:lpstr>Details</vt:lpstr>
      <vt:lpstr>SQL Pred Summary</vt:lpstr>
      <vt:lpstr>SQL Pred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Ramon</dc:creator>
  <cp:lastModifiedBy>Lawrence, Ramon</cp:lastModifiedBy>
  <dcterms:created xsi:type="dcterms:W3CDTF">2026-07-30T21:25:28Z</dcterms:created>
  <dcterms:modified xsi:type="dcterms:W3CDTF">2026-07-31T07:53:26Z</dcterms:modified>
</cp:coreProperties>
</file>